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contract5.sharepoint.com/sites/ALXTrainers/Shared Documents/Microsoft Excel/Excel - Formulas &amp; Functions 2 Course/"/>
    </mc:Choice>
  </mc:AlternateContent>
  <xr:revisionPtr revIDLastSave="33" documentId="11_636352F5A4CDD06BF6B0D4F27E61BDBB8E61FEC4" xr6:coauthVersionLast="47" xr6:coauthVersionMax="47" xr10:uidLastSave="{30A3560B-CC9C-459D-934B-18C35946C926}"/>
  <bookViews>
    <workbookView xWindow="13905" yWindow="-16320" windowWidth="29040" windowHeight="15720" xr2:uid="{00000000-000D-0000-FFFF-FFFF00000000}"/>
  </bookViews>
  <sheets>
    <sheet name="Name Range" sheetId="30" r:id="rId1"/>
    <sheet name="Asset Record" sheetId="29" r:id="rId2"/>
    <sheet name="Employee Record" sheetId="28" r:id="rId3"/>
    <sheet name="Invoice" sheetId="27" r:id="rId4"/>
    <sheet name="Address" sheetId="26" r:id="rId5"/>
    <sheet name="January" sheetId="25" r:id="rId6"/>
    <sheet name="February" sheetId="24" r:id="rId7"/>
    <sheet name="Error Messages" sheetId="23" r:id="rId8"/>
    <sheet name="Last Year" sheetId="22" r:id="rId9"/>
    <sheet name="Protect Formulas" sheetId="21" r:id="rId10"/>
    <sheet name="Protect Practice" sheetId="20" r:id="rId11"/>
    <sheet name="XL SALARY MASTER" sheetId="19" r:id="rId12"/>
    <sheet name="XL BONUS MASTER" sheetId="18" r:id="rId13"/>
    <sheet name="XL Match &amp; If not found" sheetId="17" r:id="rId14"/>
    <sheet name="XL Approx match" sheetId="16" r:id="rId15"/>
    <sheet name="XL Page Views" sheetId="15" r:id="rId16"/>
    <sheet name="XL Pages" sheetId="14" r:id="rId17"/>
    <sheet name="Validation Inputting" sheetId="13" r:id="rId18"/>
    <sheet name="Validation Lists" sheetId="12" r:id="rId19"/>
    <sheet name="Unique Values 1" sheetId="11" r:id="rId20"/>
    <sheet name="Unique Values 2" sheetId="10" r:id="rId21"/>
    <sheet name="FX" sheetId="9" r:id="rId22"/>
    <sheet name="GBP-USD" sheetId="8" r:id="rId23"/>
    <sheet name="Bank balance" sheetId="7" r:id="rId24"/>
    <sheet name="Interest_rates" sheetId="6" r:id="rId25"/>
    <sheet name="XL or VL Practice 1" sheetId="5" r:id="rId26"/>
    <sheet name="XL or VL Practice 2" sheetId="4" r:id="rId27"/>
    <sheet name="H-LOOKUP" sheetId="3" r:id="rId28"/>
    <sheet name="Qtr_4" sheetId="2" r:id="rId29"/>
  </sheets>
  <externalReferences>
    <externalReference r:id="rId30"/>
  </externalReferences>
  <definedNames>
    <definedName name="_xlnm._FilterDatabase" localSheetId="1" hidden="1">'Asset Record'!$A$3:$F$39</definedName>
    <definedName name="_xlnm._FilterDatabase" localSheetId="2" hidden="1">'Employee Record'!$A$3:$C$3</definedName>
    <definedName name="_xlnm._FilterDatabase" localSheetId="6" hidden="1">February!$A$1:$E$44</definedName>
    <definedName name="_xlnm._FilterDatabase" localSheetId="3" hidden="1">Invoice!$A$1:$H$46</definedName>
    <definedName name="Employee_Bonus">'XL BONUS MASTER'!$B$1:$B$27</definedName>
    <definedName name="Employee_ID">'XL BONUS MASTER'!$A$1:$A$27</definedName>
    <definedName name="Total_Expense">'Error Messages'!$C$33:$N$33</definedName>
    <definedName name="TotalIncome">'Error Messages'!$C$22:$N$22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3" l="1"/>
  <c r="B35" i="23"/>
  <c r="N33" i="23"/>
  <c r="M33" i="23"/>
  <c r="L33" i="23"/>
  <c r="K33" i="23"/>
  <c r="J33" i="23"/>
  <c r="I33" i="23"/>
  <c r="H33" i="23"/>
  <c r="G33" i="23"/>
  <c r="F33" i="23"/>
  <c r="E33" i="23"/>
  <c r="D33" i="23"/>
  <c r="B33" i="23"/>
  <c r="P32" i="23"/>
  <c r="O32" i="23"/>
  <c r="P31" i="23"/>
  <c r="O31" i="23"/>
  <c r="B31" i="23"/>
  <c r="P30" i="23"/>
  <c r="O30" i="23"/>
  <c r="B30" i="23"/>
  <c r="P29" i="23"/>
  <c r="O29" i="23"/>
  <c r="B29" i="23"/>
  <c r="P28" i="23"/>
  <c r="O28" i="23"/>
  <c r="B28" i="23"/>
  <c r="P27" i="23"/>
  <c r="O27" i="23"/>
  <c r="B27" i="23"/>
  <c r="P26" i="23"/>
  <c r="O26" i="23"/>
  <c r="O33" i="23" s="1"/>
  <c r="B26" i="23"/>
  <c r="P25" i="23"/>
  <c r="O25" i="23"/>
  <c r="B25" i="23"/>
  <c r="P24" i="23"/>
  <c r="O24" i="23"/>
  <c r="B24" i="23"/>
  <c r="P23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P22" i="23" s="1"/>
  <c r="B22" i="23"/>
  <c r="P21" i="23"/>
  <c r="O21" i="23"/>
  <c r="O22" i="23" s="1"/>
  <c r="B21" i="23"/>
  <c r="O20" i="23"/>
  <c r="B20" i="23"/>
  <c r="P19" i="23"/>
  <c r="O19" i="23"/>
  <c r="B19" i="23"/>
  <c r="P18" i="23"/>
  <c r="P12" i="23"/>
  <c r="P11" i="23"/>
  <c r="R10" i="23"/>
  <c r="P10" i="23"/>
  <c r="M10" i="23"/>
  <c r="P9" i="23"/>
  <c r="M9" i="23"/>
  <c r="R8" i="23"/>
  <c r="P8" i="23"/>
  <c r="M8" i="23"/>
  <c r="C8" i="23"/>
  <c r="A8" i="23" a="1"/>
  <c r="A8" i="23" s="1"/>
  <c r="P7" i="23"/>
  <c r="M7" i="23"/>
  <c r="G7" i="23"/>
  <c r="P6" i="23"/>
  <c r="M6" i="23"/>
  <c r="I6" i="23"/>
  <c r="G6" i="23"/>
  <c r="P5" i="23"/>
  <c r="G5" i="23"/>
  <c r="D14" i="22"/>
  <c r="D5" i="22"/>
  <c r="H22" i="21"/>
  <c r="B22" i="21"/>
  <c r="M21" i="21"/>
  <c r="L21" i="21"/>
  <c r="K21" i="21"/>
  <c r="I21" i="21"/>
  <c r="G21" i="21"/>
  <c r="F21" i="21"/>
  <c r="E21" i="21"/>
  <c r="C21" i="21"/>
  <c r="M20" i="21"/>
  <c r="K20" i="21"/>
  <c r="I20" i="21"/>
  <c r="L20" i="21" s="1"/>
  <c r="G20" i="21"/>
  <c r="F20" i="21"/>
  <c r="E20" i="21"/>
  <c r="C20" i="21"/>
  <c r="M19" i="21"/>
  <c r="L19" i="21"/>
  <c r="K19" i="21"/>
  <c r="I19" i="21"/>
  <c r="G19" i="21"/>
  <c r="E19" i="21"/>
  <c r="C19" i="21"/>
  <c r="F19" i="21" s="1"/>
  <c r="M18" i="21"/>
  <c r="L18" i="21"/>
  <c r="K18" i="21"/>
  <c r="I18" i="21"/>
  <c r="G18" i="21"/>
  <c r="F18" i="21"/>
  <c r="E18" i="21"/>
  <c r="C18" i="21"/>
  <c r="M17" i="21"/>
  <c r="K17" i="21"/>
  <c r="I17" i="21"/>
  <c r="L17" i="21" s="1"/>
  <c r="G17" i="21"/>
  <c r="F17" i="21"/>
  <c r="E17" i="21"/>
  <c r="C17" i="21"/>
  <c r="M16" i="21"/>
  <c r="L16" i="21"/>
  <c r="K16" i="21"/>
  <c r="I16" i="21"/>
  <c r="G16" i="21"/>
  <c r="E16" i="21"/>
  <c r="C16" i="21"/>
  <c r="F16" i="21" s="1"/>
  <c r="M15" i="21"/>
  <c r="L15" i="21"/>
  <c r="K15" i="21"/>
  <c r="I15" i="21"/>
  <c r="G15" i="21"/>
  <c r="F15" i="21"/>
  <c r="E15" i="21"/>
  <c r="C15" i="21"/>
  <c r="M14" i="21"/>
  <c r="K14" i="21"/>
  <c r="I14" i="21"/>
  <c r="L14" i="21" s="1"/>
  <c r="G14" i="21"/>
  <c r="F14" i="21"/>
  <c r="E14" i="21"/>
  <c r="C14" i="21"/>
  <c r="M13" i="21"/>
  <c r="L13" i="21"/>
  <c r="K13" i="21"/>
  <c r="I13" i="21"/>
  <c r="G13" i="21"/>
  <c r="E13" i="21"/>
  <c r="C13" i="21"/>
  <c r="F13" i="21" s="1"/>
  <c r="M12" i="21"/>
  <c r="L12" i="21"/>
  <c r="K12" i="21"/>
  <c r="I12" i="21"/>
  <c r="G12" i="21"/>
  <c r="F12" i="21"/>
  <c r="E12" i="21"/>
  <c r="C12" i="21"/>
  <c r="M11" i="21"/>
  <c r="K11" i="21"/>
  <c r="I11" i="21"/>
  <c r="L11" i="21" s="1"/>
  <c r="G11" i="21"/>
  <c r="F11" i="21"/>
  <c r="E11" i="21"/>
  <c r="M10" i="21"/>
  <c r="M22" i="21" s="1"/>
  <c r="K10" i="21"/>
  <c r="L10" i="21" s="1"/>
  <c r="I10" i="21"/>
  <c r="I22" i="21" s="1"/>
  <c r="G10" i="21"/>
  <c r="G22" i="21" s="1"/>
  <c r="E10" i="21"/>
  <c r="F10" i="21" s="1"/>
  <c r="P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O16" i="20" s="1"/>
  <c r="N7" i="20"/>
  <c r="M7" i="20"/>
  <c r="L7" i="20"/>
  <c r="K7" i="20"/>
  <c r="J7" i="20"/>
  <c r="O7" i="20" s="1"/>
  <c r="I7" i="20"/>
  <c r="H7" i="20"/>
  <c r="G7" i="20"/>
  <c r="F7" i="20"/>
  <c r="E7" i="20"/>
  <c r="D7" i="20"/>
  <c r="C7" i="20"/>
  <c r="P6" i="20"/>
  <c r="O6" i="20"/>
  <c r="P5" i="20"/>
  <c r="O5" i="20"/>
  <c r="P4" i="20"/>
  <c r="O4" i="20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J5" i="2"/>
  <c r="I5" i="2"/>
  <c r="H5" i="2"/>
  <c r="G5" i="2"/>
  <c r="F5" i="2"/>
  <c r="E5" i="2"/>
  <c r="D5" i="2"/>
  <c r="C5" i="2"/>
  <c r="B5" i="2"/>
  <c r="L22" i="21" l="1"/>
  <c r="F22" i="21"/>
  <c r="C22" i="21"/>
  <c r="E22" i="21"/>
  <c r="K22" i="21"/>
  <c r="P7" i="20"/>
  <c r="P33" i="23"/>
  <c r="C33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tc={C7BF7357-A622-449B-98F8-3DC8D151B49D}</author>
  </authors>
  <commentList>
    <comment ref="G3" authorId="0" shapeId="0" xr:uid="{C7BF7357-A622-449B-98F8-3DC8D151B49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Copy and Paste Special (Values)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<sst xmlns="http://schemas.openxmlformats.org/spreadsheetml/2006/main" count="2505" uniqueCount="795">
  <si>
    <t>BVI</t>
  </si>
  <si>
    <t>Cayman</t>
  </si>
  <si>
    <t>Isle of Wight</t>
  </si>
  <si>
    <t>Luxembourg</t>
  </si>
  <si>
    <t>Southampton</t>
  </si>
  <si>
    <t>London</t>
  </si>
  <si>
    <t>HongKong</t>
  </si>
  <si>
    <t>Guernsey</t>
  </si>
  <si>
    <t>Jersey</t>
  </si>
  <si>
    <t>October</t>
  </si>
  <si>
    <t>November</t>
  </si>
  <si>
    <t>December</t>
  </si>
  <si>
    <t>Total for Qtr 4</t>
  </si>
  <si>
    <t>Qtr 1</t>
  </si>
  <si>
    <t>Qtr 2</t>
  </si>
  <si>
    <t>Qtr 3</t>
  </si>
  <si>
    <t>Qtr 4</t>
  </si>
  <si>
    <t>Sales</t>
  </si>
  <si>
    <t>Commission</t>
  </si>
  <si>
    <t>Name</t>
  </si>
  <si>
    <t>Comm %</t>
  </si>
  <si>
    <t>Adeline</t>
  </si>
  <si>
    <t>Alan</t>
  </si>
  <si>
    <t>Anna</t>
  </si>
  <si>
    <t>Calvin</t>
  </si>
  <si>
    <t>Crawford</t>
  </si>
  <si>
    <t>Darren</t>
  </si>
  <si>
    <t>Dianah</t>
  </si>
  <si>
    <t>Georgia</t>
  </si>
  <si>
    <t>Gloria</t>
  </si>
  <si>
    <t>Harry</t>
  </si>
  <si>
    <t>Harvey</t>
  </si>
  <si>
    <t>Hodge</t>
  </si>
  <si>
    <t>Hope</t>
  </si>
  <si>
    <t>James</t>
  </si>
  <si>
    <t>Joanna</t>
  </si>
  <si>
    <t>Jodie</t>
  </si>
  <si>
    <t>Mansell</t>
  </si>
  <si>
    <t>Marc</t>
  </si>
  <si>
    <t>Marilyn</t>
  </si>
  <si>
    <t>Nathaniel</t>
  </si>
  <si>
    <t>Oliver</t>
  </si>
  <si>
    <t>Queen</t>
  </si>
  <si>
    <t>Rayner</t>
  </si>
  <si>
    <t>Rodger</t>
  </si>
  <si>
    <t>Rose</t>
  </si>
  <si>
    <t>Samuel</t>
  </si>
  <si>
    <t>Vince</t>
  </si>
  <si>
    <t>Walker</t>
  </si>
  <si>
    <t>Lower</t>
  </si>
  <si>
    <t>Upper</t>
  </si>
  <si>
    <t>Interest rate</t>
  </si>
  <si>
    <t>Bank Account</t>
  </si>
  <si>
    <t>Balance</t>
  </si>
  <si>
    <t>Interest Rate</t>
  </si>
  <si>
    <t>USD Accounts</t>
  </si>
  <si>
    <t>GBP Accounts</t>
  </si>
  <si>
    <t>Account No.</t>
  </si>
  <si>
    <t>Customer Name</t>
  </si>
  <si>
    <t>Currency</t>
  </si>
  <si>
    <t>Mora Steinhoff</t>
  </si>
  <si>
    <t>USD</t>
  </si>
  <si>
    <t>Adrien Darr</t>
  </si>
  <si>
    <t>GBP</t>
  </si>
  <si>
    <t>Brendon Myers</t>
  </si>
  <si>
    <t>Lakia Eppinger</t>
  </si>
  <si>
    <t>Aiko Gullion</t>
  </si>
  <si>
    <t>Nilsa Carrier</t>
  </si>
  <si>
    <t>Candelaria Harrigan</t>
  </si>
  <si>
    <t>Porsha Sokol</t>
  </si>
  <si>
    <t>Jenna Lynn</t>
  </si>
  <si>
    <t>Keturah Pennell</t>
  </si>
  <si>
    <t>Soraya Vore</t>
  </si>
  <si>
    <t>Dexter Henricksen</t>
  </si>
  <si>
    <t>Herta Mewborn</t>
  </si>
  <si>
    <t>Markus Remus</t>
  </si>
  <si>
    <t>Jannette Kreisel</t>
  </si>
  <si>
    <t>Christinia Roa</t>
  </si>
  <si>
    <t>Arlen Salcido</t>
  </si>
  <si>
    <t>Edmund Currington</t>
  </si>
  <si>
    <t>Elmo Boulware</t>
  </si>
  <si>
    <t>Alba Steffan</t>
  </si>
  <si>
    <t>Marjory Hickok</t>
  </si>
  <si>
    <t>Kathleen Markow</t>
  </si>
  <si>
    <t>Echo Schuler</t>
  </si>
  <si>
    <t>Parker Greenhalgh</t>
  </si>
  <si>
    <t>Thuy Roesner</t>
  </si>
  <si>
    <t>Audrea Savino</t>
  </si>
  <si>
    <t>Sean Whitacre</t>
  </si>
  <si>
    <t>Brenton Marks</t>
  </si>
  <si>
    <t>Angelia Lasorsa</t>
  </si>
  <si>
    <t>Robbi Eakins</t>
  </si>
  <si>
    <t>Joie Sheets</t>
  </si>
  <si>
    <t>Silvia Atwell</t>
  </si>
  <si>
    <t>Jerri Beauchesne</t>
  </si>
  <si>
    <t>Jadwiga Carlo</t>
  </si>
  <si>
    <t>Garnett Burkhart</t>
  </si>
  <si>
    <t>Alysa Cliff</t>
  </si>
  <si>
    <t>Breana Bearden</t>
  </si>
  <si>
    <t>Dania Robare</t>
  </si>
  <si>
    <t>Cornelia Barbieri</t>
  </si>
  <si>
    <t>Nan Coronel</t>
  </si>
  <si>
    <t>Marlon Tindel</t>
  </si>
  <si>
    <t>Shawanna Koser</t>
  </si>
  <si>
    <t>Sharlene Jorgensen</t>
  </si>
  <si>
    <t>Lavonne Profit</t>
  </si>
  <si>
    <t>Vern Wilgus</t>
  </si>
  <si>
    <t>Miriam Crandall</t>
  </si>
  <si>
    <t>Meryl Dearmond</t>
  </si>
  <si>
    <t>Helaine Rabideau</t>
  </si>
  <si>
    <t>Madalyn Freeborn</t>
  </si>
  <si>
    <t>Terrie Dacosta</t>
  </si>
  <si>
    <t>Joycelyn Weigel</t>
  </si>
  <si>
    <t>Freddy Lally</t>
  </si>
  <si>
    <t>Jarred Christiano</t>
  </si>
  <si>
    <t>Martha Usrey</t>
  </si>
  <si>
    <t>Lowell Radley</t>
  </si>
  <si>
    <t>Collin Paavola</t>
  </si>
  <si>
    <t>Maureen Rocchio</t>
  </si>
  <si>
    <t>Norman Mcgrory</t>
  </si>
  <si>
    <t>Wm Hagen</t>
  </si>
  <si>
    <t>Palmer Huizenga</t>
  </si>
  <si>
    <t>Cami Brazan</t>
  </si>
  <si>
    <t>Nicolle Henne</t>
  </si>
  <si>
    <t>Jerald Hennessee</t>
  </si>
  <si>
    <t>Lauryn Caicedo</t>
  </si>
  <si>
    <t>Sherie Fulp</t>
  </si>
  <si>
    <t>Odilia Cobbins</t>
  </si>
  <si>
    <t>Corina Powell</t>
  </si>
  <si>
    <t>Leighann Killeen</t>
  </si>
  <si>
    <t>Maryjo Sudler</t>
  </si>
  <si>
    <t>Elisha Batres</t>
  </si>
  <si>
    <t>Heide Jolliff</t>
  </si>
  <si>
    <t>Gwyn Lagrone</t>
  </si>
  <si>
    <t>Youlanda Langhorne</t>
  </si>
  <si>
    <t>Roxane Tingler</t>
  </si>
  <si>
    <t>Jarod Wrench</t>
  </si>
  <si>
    <t>Royal Blaylock</t>
  </si>
  <si>
    <t>Hildegard Toothaker</t>
  </si>
  <si>
    <t>Toya Blain</t>
  </si>
  <si>
    <t>Silas Shippy</t>
  </si>
  <si>
    <t>Babara Kniffen</t>
  </si>
  <si>
    <t>Loreta Schroeter</t>
  </si>
  <si>
    <t>Frederick Cottone</t>
  </si>
  <si>
    <t>Francie Mcintyre</t>
  </si>
  <si>
    <t>Brigid Milledge</t>
  </si>
  <si>
    <t>Raye Vandeventer</t>
  </si>
  <si>
    <t>Annetta Stanforth</t>
  </si>
  <si>
    <t>Debbi Mean</t>
  </si>
  <si>
    <t>Fe Reeder</t>
  </si>
  <si>
    <t>Migdalia Junkins</t>
  </si>
  <si>
    <t>Gwen Toler</t>
  </si>
  <si>
    <t>Dagmar Kivi</t>
  </si>
  <si>
    <t>Elenore Tewksbury</t>
  </si>
  <si>
    <t>Jamika Cruce</t>
  </si>
  <si>
    <t>Reba Keating</t>
  </si>
  <si>
    <t>Heidi Kujawski</t>
  </si>
  <si>
    <t>Latrisha Thedford</t>
  </si>
  <si>
    <t>Neoma Gathright</t>
  </si>
  <si>
    <t>Beata Wallingford</t>
  </si>
  <si>
    <t>Genevieve Nunes</t>
  </si>
  <si>
    <t>Karrie Yeh</t>
  </si>
  <si>
    <t>Mrs A Jones</t>
  </si>
  <si>
    <t>Miss R Jones</t>
  </si>
  <si>
    <t>Mr T Moffa</t>
  </si>
  <si>
    <t>Mr P Biard</t>
  </si>
  <si>
    <t>Mr G Rennie</t>
  </si>
  <si>
    <t>Mr P Croft</t>
  </si>
  <si>
    <t>Mr G Porter</t>
  </si>
  <si>
    <t>Mrs S Les Vesconte</t>
  </si>
  <si>
    <t>Miss H Smith</t>
  </si>
  <si>
    <t>Miss S Baudain</t>
  </si>
  <si>
    <t>Mrs M Garford</t>
  </si>
  <si>
    <t>Mrs C Thomson</t>
  </si>
  <si>
    <t>Mrs C Blake</t>
  </si>
  <si>
    <t>Mrs E Malan</t>
  </si>
  <si>
    <t>Miss F de Merindol</t>
  </si>
  <si>
    <t/>
  </si>
  <si>
    <t>Nest a Vlookup with IFERROR Formula</t>
  </si>
  <si>
    <t>Client ID</t>
  </si>
  <si>
    <t>SEDOL</t>
  </si>
  <si>
    <t>Director</t>
  </si>
  <si>
    <t>Date Due</t>
  </si>
  <si>
    <t>JM8X9TK</t>
  </si>
  <si>
    <t>AM</t>
  </si>
  <si>
    <t>A2B3M2M</t>
  </si>
  <si>
    <t>M4EGOOH</t>
  </si>
  <si>
    <t>KM</t>
  </si>
  <si>
    <t>3KP5MAQ</t>
  </si>
  <si>
    <t>LYGW4S7</t>
  </si>
  <si>
    <t>9ZZ0PCE</t>
  </si>
  <si>
    <t>7N9IFR5</t>
  </si>
  <si>
    <t>AFG3XXR</t>
  </si>
  <si>
    <t>TG</t>
  </si>
  <si>
    <t>TRT3HRU</t>
  </si>
  <si>
    <t>KF1O1GS</t>
  </si>
  <si>
    <t>97UQIFJ</t>
  </si>
  <si>
    <t>ARM3GEI</t>
  </si>
  <si>
    <t>YU46G16</t>
  </si>
  <si>
    <t>VOHAZ18</t>
  </si>
  <si>
    <t>GTV4WWL</t>
  </si>
  <si>
    <t>5O68FEH</t>
  </si>
  <si>
    <t>O7UHGZE</t>
  </si>
  <si>
    <t>5KXU22T</t>
  </si>
  <si>
    <t>LYXEVME</t>
  </si>
  <si>
    <t>GPX6V8H</t>
  </si>
  <si>
    <t>78Y7RR1</t>
  </si>
  <si>
    <t>FSIPWVG</t>
  </si>
  <si>
    <t>O8DFQ5M</t>
  </si>
  <si>
    <t>53AY622</t>
  </si>
  <si>
    <t>RI8STQX</t>
  </si>
  <si>
    <t>DS1UOH0</t>
  </si>
  <si>
    <t>5FCG519</t>
  </si>
  <si>
    <t>AJ3LBGX</t>
  </si>
  <si>
    <t>CL2H8XY</t>
  </si>
  <si>
    <t>DJXNNLN</t>
  </si>
  <si>
    <t>X78FPI9</t>
  </si>
  <si>
    <t>P224XI9</t>
  </si>
  <si>
    <t>Y6CA70S</t>
  </si>
  <si>
    <t>4GVIP7R</t>
  </si>
  <si>
    <t>P91WK2E</t>
  </si>
  <si>
    <t>K8QU34O</t>
  </si>
  <si>
    <t>5L9A5TY</t>
  </si>
  <si>
    <t>7JSDW8W</t>
  </si>
  <si>
    <t>E8NKUQT</t>
  </si>
  <si>
    <t>NVM8X17</t>
  </si>
  <si>
    <t>YQMASKF</t>
  </si>
  <si>
    <t>2IEKRF2</t>
  </si>
  <si>
    <t>6I7DRCJ</t>
  </si>
  <si>
    <t>CV2J21T</t>
  </si>
  <si>
    <t>BKTLM3M</t>
  </si>
  <si>
    <t>LD7RCV4</t>
  </si>
  <si>
    <t>20G5AAM</t>
  </si>
  <si>
    <t>KAJQBDM</t>
  </si>
  <si>
    <t>XBH0275</t>
  </si>
  <si>
    <t>6VY6W79</t>
  </si>
  <si>
    <t>BOHFTG0</t>
  </si>
  <si>
    <t>EREHEOV</t>
  </si>
  <si>
    <t>PRFMZBK</t>
  </si>
  <si>
    <t>11RHR4N</t>
  </si>
  <si>
    <t>JT0KKBH</t>
  </si>
  <si>
    <t>DLS4HPT</t>
  </si>
  <si>
    <t>CDMBFHI</t>
  </si>
  <si>
    <t>2T2MLZA</t>
  </si>
  <si>
    <t>WGRPM8I</t>
  </si>
  <si>
    <t>JRP3SXO</t>
  </si>
  <si>
    <t>A5PIZP4</t>
  </si>
  <si>
    <t>J13NQPR</t>
  </si>
  <si>
    <t>AF9OXCA</t>
  </si>
  <si>
    <t>TBM7QXM</t>
  </si>
  <si>
    <t>6BXHDTA</t>
  </si>
  <si>
    <t>9H93SCN</t>
  </si>
  <si>
    <t>Client Name</t>
  </si>
  <si>
    <t>Emma Gamble</t>
  </si>
  <si>
    <t>Steve Barry</t>
  </si>
  <si>
    <t>Joanna Le Huray</t>
  </si>
  <si>
    <t>Emergency Personnel: Contact Info</t>
  </si>
  <si>
    <t>Department</t>
  </si>
  <si>
    <t>Extension No.</t>
  </si>
  <si>
    <t>Mobile No.</t>
  </si>
  <si>
    <t>Contracted Hours</t>
  </si>
  <si>
    <t>D.O.B</t>
  </si>
  <si>
    <t>Page Name</t>
  </si>
  <si>
    <t>Page ID</t>
  </si>
  <si>
    <t>Home Page</t>
  </si>
  <si>
    <t>National News 1</t>
  </si>
  <si>
    <t>National News 2</t>
  </si>
  <si>
    <t>National News 3</t>
  </si>
  <si>
    <t>National News 4</t>
  </si>
  <si>
    <t>Comics &amp; Humor</t>
  </si>
  <si>
    <t>International News 1</t>
  </si>
  <si>
    <t>International News 2</t>
  </si>
  <si>
    <t>International News 3</t>
  </si>
  <si>
    <t>International News 4</t>
  </si>
  <si>
    <t>Local News 1</t>
  </si>
  <si>
    <t>Local News 2</t>
  </si>
  <si>
    <t>Local News 3</t>
  </si>
  <si>
    <t>National Sports 1</t>
  </si>
  <si>
    <t>National Sports 2</t>
  </si>
  <si>
    <t>Intl. Sports 1</t>
  </si>
  <si>
    <t>Intl. Sports 2</t>
  </si>
  <si>
    <t>Intl. Sports 3</t>
  </si>
  <si>
    <t>Local Sports 1</t>
  </si>
  <si>
    <t>Local Sports 2</t>
  </si>
  <si>
    <t>Intl Weather</t>
  </si>
  <si>
    <t>National Weather</t>
  </si>
  <si>
    <t>Local Weather</t>
  </si>
  <si>
    <t>Stocks</t>
  </si>
  <si>
    <t>Intl. Business 1</t>
  </si>
  <si>
    <t>Intl. Business 2</t>
  </si>
  <si>
    <t>National Business 1</t>
  </si>
  <si>
    <t>National Business 2</t>
  </si>
  <si>
    <t>Local Business 1</t>
  </si>
  <si>
    <t>Local Business 2</t>
  </si>
  <si>
    <t>Search</t>
  </si>
  <si>
    <t>Movies 1</t>
  </si>
  <si>
    <t>Movies 2</t>
  </si>
  <si>
    <t>Movies 3</t>
  </si>
  <si>
    <t>Arts 1</t>
  </si>
  <si>
    <t>Arts 2</t>
  </si>
  <si>
    <t>Kids 1</t>
  </si>
  <si>
    <t>Kids 2</t>
  </si>
  <si>
    <t>Site Metrics</t>
  </si>
  <si>
    <t>Most Active Pages</t>
  </si>
  <si>
    <t>Page Views</t>
  </si>
  <si>
    <t xml:space="preserve"> Hit Percentage</t>
  </si>
  <si>
    <t>Page Names</t>
  </si>
  <si>
    <t>Interest Rate Table</t>
  </si>
  <si>
    <t xml:space="preserve">Over </t>
  </si>
  <si>
    <t>Create an XLOOKUP that will look up the balance in column B and find the correct interest rate from the Interest Rate Table</t>
  </si>
  <si>
    <t>Asset No</t>
  </si>
  <si>
    <t>Item</t>
  </si>
  <si>
    <t>Supplier</t>
  </si>
  <si>
    <t>Laptop</t>
  </si>
  <si>
    <t>Windows 11</t>
  </si>
  <si>
    <t>1. Create an XLOOKUP formula in F2 to display the item associated with the asset number in F1</t>
  </si>
  <si>
    <t>iPhone</t>
  </si>
  <si>
    <t>IOS14.2</t>
  </si>
  <si>
    <t>2. Create an XLOOKUP formula in F3 to display the supplier associated with the asset number in F1</t>
  </si>
  <si>
    <t>IOS15.67</t>
  </si>
  <si>
    <r>
      <t xml:space="preserve">3. Create an XLOOKUP formula in E5 to display the </t>
    </r>
    <r>
      <rPr>
        <b/>
        <sz val="10"/>
        <rFont val="Arial"/>
        <family val="2"/>
      </rPr>
      <t xml:space="preserve">item </t>
    </r>
    <r>
      <rPr>
        <b/>
        <u/>
        <sz val="10"/>
        <rFont val="Arial"/>
        <family val="2"/>
      </rPr>
      <t>and</t>
    </r>
    <r>
      <rPr>
        <b/>
        <sz val="10"/>
        <rFont val="Arial"/>
        <family val="2"/>
      </rPr>
      <t xml:space="preserve"> supplier</t>
    </r>
    <r>
      <rPr>
        <sz val="10"/>
        <rFont val="Arial"/>
        <family val="2"/>
      </rPr>
      <t xml:space="preserve"> associated with the asset number in F1</t>
    </r>
  </si>
  <si>
    <t>IOS16.4</t>
  </si>
  <si>
    <t>4. Now search for Asset number 2000 in F1 - what happens</t>
  </si>
  <si>
    <r>
      <t xml:space="preserve">5. Change the formula so it shows </t>
    </r>
    <r>
      <rPr>
        <b/>
        <i/>
        <sz val="10"/>
        <rFont val="Arial"/>
        <family val="2"/>
      </rPr>
      <t>Asset not found</t>
    </r>
    <r>
      <rPr>
        <sz val="11"/>
        <color theme="1"/>
        <rFont val="Aptos Narrow"/>
        <family val="2"/>
        <scheme val="minor"/>
      </rPr>
      <t xml:space="preserve"> in the future for all 3 formulas</t>
    </r>
  </si>
  <si>
    <t>tablet</t>
  </si>
  <si>
    <t>IOS6.4</t>
  </si>
  <si>
    <t>Windows 10</t>
  </si>
  <si>
    <t>Tablet</t>
  </si>
  <si>
    <t>Samsung Mobile</t>
  </si>
  <si>
    <t>Surface Pro</t>
  </si>
  <si>
    <t>EMPLOYEE ID</t>
  </si>
  <si>
    <t>BONUS %</t>
  </si>
  <si>
    <t>EMPLOYEE NAME</t>
  </si>
  <si>
    <t>ID29</t>
  </si>
  <si>
    <t>Andre Cooper</t>
  </si>
  <si>
    <t>ID14</t>
  </si>
  <si>
    <t>Ann Withers</t>
  </si>
  <si>
    <t>ID15</t>
  </si>
  <si>
    <t>Betina Baue</t>
  </si>
  <si>
    <t>ID10</t>
  </si>
  <si>
    <t>Bridgette Bond</t>
  </si>
  <si>
    <t>ID16</t>
  </si>
  <si>
    <t>Corinna Schmidt</t>
  </si>
  <si>
    <t>ID1</t>
  </si>
  <si>
    <t>Crystal Doyle</t>
  </si>
  <si>
    <t>ID11</t>
  </si>
  <si>
    <t>Dan Zigler</t>
  </si>
  <si>
    <t>ID17</t>
  </si>
  <si>
    <t>Daniel Garrett</t>
  </si>
  <si>
    <t>ID18</t>
  </si>
  <si>
    <t>Eqan Thompson</t>
  </si>
  <si>
    <t>ID4</t>
  </si>
  <si>
    <t>Gary Miller</t>
  </si>
  <si>
    <t>ID2</t>
  </si>
  <si>
    <t>James Willard</t>
  </si>
  <si>
    <t>ID6</t>
  </si>
  <si>
    <t>Kim West</t>
  </si>
  <si>
    <t>ID21</t>
  </si>
  <si>
    <t>Maria Tot</t>
  </si>
  <si>
    <t>ID27</t>
  </si>
  <si>
    <t>Mike Saban</t>
  </si>
  <si>
    <t>ID3</t>
  </si>
  <si>
    <t>Natalie Porter</t>
  </si>
  <si>
    <t>ID24</t>
  </si>
  <si>
    <t>Paul Garza</t>
  </si>
  <si>
    <t>ID25</t>
  </si>
  <si>
    <t>Paul Hill</t>
  </si>
  <si>
    <t>ID19</t>
  </si>
  <si>
    <t>Paul Wells</t>
  </si>
  <si>
    <t>ID9</t>
  </si>
  <si>
    <t>Peter Ramsey</t>
  </si>
  <si>
    <t>ID12</t>
  </si>
  <si>
    <t>Richard Elliot</t>
  </si>
  <si>
    <t>ID5</t>
  </si>
  <si>
    <t>Robert Marquez</t>
  </si>
  <si>
    <t>ID13</t>
  </si>
  <si>
    <t>Robert Musser</t>
  </si>
  <si>
    <t>ID26</t>
  </si>
  <si>
    <t>Robert Richardson</t>
  </si>
  <si>
    <t>ID8</t>
  </si>
  <si>
    <t>Robert Spear</t>
  </si>
  <si>
    <t>ID20</t>
  </si>
  <si>
    <t>Roger Mun</t>
  </si>
  <si>
    <t>ID7</t>
  </si>
  <si>
    <t>Stevie Bridge</t>
  </si>
  <si>
    <t>SALARY</t>
  </si>
  <si>
    <t xml:space="preserve">BONUS </t>
  </si>
  <si>
    <t>Bonus Value</t>
  </si>
  <si>
    <t>QUESTIONS</t>
  </si>
  <si>
    <t>Answer</t>
  </si>
  <si>
    <r>
      <t xml:space="preserve">1. Create an XLOOKUP in A2 to bring across the </t>
    </r>
    <r>
      <rPr>
        <b/>
        <sz val="11"/>
        <color theme="1"/>
        <rFont val="HP Simplified Light"/>
      </rPr>
      <t>employee ID</t>
    </r>
    <r>
      <rPr>
        <sz val="11"/>
        <color theme="1"/>
        <rFont val="HP Simplified Light"/>
        <family val="2"/>
      </rPr>
      <t xml:space="preserve"> data from the </t>
    </r>
    <r>
      <rPr>
        <b/>
        <i/>
        <sz val="11"/>
        <color theme="1"/>
        <rFont val="HP Simplified Light"/>
      </rPr>
      <t>XL Bonus Master</t>
    </r>
    <r>
      <rPr>
        <sz val="11"/>
        <color theme="1"/>
        <rFont val="HP Simplified Light"/>
        <family val="2"/>
      </rPr>
      <t xml:space="preserve"> sheet </t>
    </r>
  </si>
  <si>
    <t>2. Apply the XLOOKUP formula to the rest of column A and then convert column A cell contents to actual values</t>
  </si>
  <si>
    <r>
      <t xml:space="preserve">3. Create an XLOOKUP in D2 to bring across the </t>
    </r>
    <r>
      <rPr>
        <b/>
        <sz val="11"/>
        <color theme="1"/>
        <rFont val="HP Simplified Light"/>
      </rPr>
      <t>Bonus %</t>
    </r>
    <r>
      <rPr>
        <sz val="11"/>
        <color theme="1"/>
        <rFont val="HP Simplified Light"/>
        <family val="2"/>
      </rPr>
      <t xml:space="preserve"> from from the </t>
    </r>
    <r>
      <rPr>
        <b/>
        <i/>
        <sz val="11"/>
        <color theme="1"/>
        <rFont val="HP Simplified Light"/>
      </rPr>
      <t>XL Bonus Master</t>
    </r>
    <r>
      <rPr>
        <sz val="11"/>
        <color theme="1"/>
        <rFont val="HP Simplified Light"/>
        <family val="2"/>
      </rPr>
      <t xml:space="preserve"> sheet Column D - Copy down the column</t>
    </r>
  </si>
  <si>
    <r>
      <t xml:space="preserve">4. Write an XLOOKUP formula in H4 to find out who has a salary of </t>
    </r>
    <r>
      <rPr>
        <b/>
        <sz val="11"/>
        <color theme="1"/>
        <rFont val="HP Simplified Light"/>
      </rPr>
      <t>£45117</t>
    </r>
  </si>
  <si>
    <r>
      <t xml:space="preserve">5. Use an XLOOKUP formula to find out how much </t>
    </r>
    <r>
      <rPr>
        <b/>
        <sz val="11"/>
        <color theme="1"/>
        <rFont val="HP Simplified Light"/>
      </rPr>
      <t>Ann Withers</t>
    </r>
    <r>
      <rPr>
        <sz val="11"/>
        <color theme="1"/>
        <rFont val="HP Simplified Light"/>
        <family val="2"/>
      </rPr>
      <t xml:space="preserve"> made?</t>
    </r>
  </si>
  <si>
    <t>6. Compose an XLOOKUP formula to find out who had the bonus nearest to 30%?</t>
  </si>
  <si>
    <t>7. Write an XLOOKUP to find the Employee ID of the person who earns closest to £150,000.00</t>
  </si>
  <si>
    <r>
      <t xml:space="preserve">8. Create an Xlookup to calculate the Bonus Value in Column E using the bonus list from the </t>
    </r>
    <r>
      <rPr>
        <b/>
        <i/>
        <sz val="11"/>
        <color theme="1"/>
        <rFont val="HP Simplified Light"/>
      </rPr>
      <t>XL Bonus Master</t>
    </r>
    <r>
      <rPr>
        <sz val="11"/>
        <color theme="1"/>
        <rFont val="HP Simplified Light"/>
        <family val="2"/>
      </rPr>
      <t xml:space="preserve"> sheet - populate column E</t>
    </r>
  </si>
  <si>
    <t>9. Create a Data Validation drop down list in H10 for all the employees listed in the Employee names column on XL Bonus Master sheet</t>
  </si>
  <si>
    <t>10. Using H10 data validation, create an XLOOKUP to see what bonus Andrew Cooper received?</t>
  </si>
  <si>
    <t>11. Using H10 data validation, create an XLOOKUP to see what bonus Paul Hill received?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</si>
  <si>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</si>
  <si>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</si>
  <si>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</si>
  <si>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</si>
  <si>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</si>
  <si>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</si>
  <si>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</si>
  <si>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</si>
  <si>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</si>
  <si>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Total</t>
  </si>
  <si>
    <t>Average</t>
  </si>
  <si>
    <t>Income</t>
  </si>
  <si>
    <t>Salary</t>
  </si>
  <si>
    <t>Tenants</t>
  </si>
  <si>
    <t>Host Family</t>
  </si>
  <si>
    <t>Expenditure</t>
  </si>
  <si>
    <t>Stationery</t>
  </si>
  <si>
    <t>Beverages</t>
  </si>
  <si>
    <t>Publications</t>
  </si>
  <si>
    <t>Literature</t>
  </si>
  <si>
    <t>Telephone</t>
  </si>
  <si>
    <t>Rates</t>
  </si>
  <si>
    <t>Rent</t>
  </si>
  <si>
    <t>Salaries</t>
  </si>
  <si>
    <t>Employee No.</t>
  </si>
  <si>
    <t>0006</t>
  </si>
  <si>
    <t>0007</t>
  </si>
  <si>
    <t>Forename</t>
  </si>
  <si>
    <t>Alexandra</t>
  </si>
  <si>
    <t>Alexander</t>
  </si>
  <si>
    <t>Middle Name</t>
  </si>
  <si>
    <t>Mary</t>
  </si>
  <si>
    <t>Bud</t>
  </si>
  <si>
    <t>Surname</t>
  </si>
  <si>
    <t>Stammers</t>
  </si>
  <si>
    <t>Thelland</t>
  </si>
  <si>
    <t>Tax Ref</t>
  </si>
  <si>
    <t>JU89890</t>
  </si>
  <si>
    <t>BH3434</t>
  </si>
  <si>
    <t>Social Sec</t>
  </si>
  <si>
    <t>JY419451A</t>
  </si>
  <si>
    <t>JY2994BA</t>
  </si>
  <si>
    <t>Gross Pay</t>
  </si>
  <si>
    <t>Tax Ded.</t>
  </si>
  <si>
    <t>Eff. Rate</t>
  </si>
  <si>
    <t>Soc. Sec ees 6%</t>
  </si>
  <si>
    <t>Net pay</t>
  </si>
  <si>
    <t>Soc sec ers 6.5%</t>
  </si>
  <si>
    <t>Totals</t>
  </si>
  <si>
    <t>Account</t>
  </si>
  <si>
    <t>Phone</t>
  </si>
  <si>
    <t>Error Messages</t>
  </si>
  <si>
    <t>####</t>
  </si>
  <si>
    <t>Yr 1</t>
  </si>
  <si>
    <t>Yr 2</t>
  </si>
  <si>
    <t>Yr1</t>
  </si>
  <si>
    <t>Yrly £</t>
  </si>
  <si>
    <t>No of Mths</t>
  </si>
  <si>
    <t>Monthly £</t>
  </si>
  <si>
    <t>N/A</t>
  </si>
  <si>
    <t>P&amp;L</t>
  </si>
  <si>
    <t>Brought Fwd</t>
  </si>
  <si>
    <t>2000</t>
  </si>
  <si>
    <t>Total Income</t>
  </si>
  <si>
    <t>Total Expense</t>
  </si>
  <si>
    <t>Employee Number</t>
  </si>
  <si>
    <t>Line Manager</t>
  </si>
  <si>
    <t>Start Date</t>
  </si>
  <si>
    <t>New Starters</t>
  </si>
  <si>
    <t>AB</t>
  </si>
  <si>
    <t>JH</t>
  </si>
  <si>
    <t>SF</t>
  </si>
  <si>
    <t>JK</t>
  </si>
  <si>
    <t>Left Company</t>
  </si>
  <si>
    <t>022</t>
  </si>
  <si>
    <t>JB</t>
  </si>
  <si>
    <t>152</t>
  </si>
  <si>
    <t>1st Line</t>
  </si>
  <si>
    <t>2nd Line</t>
  </si>
  <si>
    <t>City</t>
  </si>
  <si>
    <t>Country</t>
  </si>
  <si>
    <t>Postcode</t>
  </si>
  <si>
    <t>Inv No.</t>
  </si>
  <si>
    <t>Code</t>
  </si>
  <si>
    <t>Admin</t>
  </si>
  <si>
    <t>Date Since</t>
  </si>
  <si>
    <t>Ledger</t>
  </si>
  <si>
    <t>343 Principal</t>
  </si>
  <si>
    <t>Coast Road</t>
  </si>
  <si>
    <t>Kabul</t>
  </si>
  <si>
    <t>Afghanistan</t>
  </si>
  <si>
    <t>LJA776</t>
  </si>
  <si>
    <t>TRUST</t>
  </si>
  <si>
    <t>JJ</t>
  </si>
  <si>
    <t>34 Blade Street</t>
  </si>
  <si>
    <t>St Helier</t>
  </si>
  <si>
    <t>Tirana</t>
  </si>
  <si>
    <t>Albania</t>
  </si>
  <si>
    <t>LA1 3FG</t>
  </si>
  <si>
    <t>LK</t>
  </si>
  <si>
    <t>Les Amie</t>
  </si>
  <si>
    <t>St Clement</t>
  </si>
  <si>
    <t>Algiers</t>
  </si>
  <si>
    <t>Algeria</t>
  </si>
  <si>
    <t>MA9 45O</t>
  </si>
  <si>
    <t>HJ</t>
  </si>
  <si>
    <t>Romney Villas</t>
  </si>
  <si>
    <t>St Saviour</t>
  </si>
  <si>
    <t>Andorra la Vella</t>
  </si>
  <si>
    <t>Andorra</t>
  </si>
  <si>
    <t>FG</t>
  </si>
  <si>
    <t>Merindol</t>
  </si>
  <si>
    <t>Mora</t>
  </si>
  <si>
    <t>Luanda</t>
  </si>
  <si>
    <t>Angola</t>
  </si>
  <si>
    <t>YT</t>
  </si>
  <si>
    <t>Close de la Chapelle</t>
  </si>
  <si>
    <t>Le Husa</t>
  </si>
  <si>
    <t>Saint John's</t>
  </si>
  <si>
    <t>Antigua and Barbuda</t>
  </si>
  <si>
    <t>TT</t>
  </si>
  <si>
    <t>Victoria Ave</t>
  </si>
  <si>
    <t>Parish</t>
  </si>
  <si>
    <t>Buenos Aires</t>
  </si>
  <si>
    <t>Argentina</t>
  </si>
  <si>
    <t>WE</t>
  </si>
  <si>
    <t>Flat 3</t>
  </si>
  <si>
    <t>Elizabeth Place</t>
  </si>
  <si>
    <t>Yerevan</t>
  </si>
  <si>
    <t>Armenia</t>
  </si>
  <si>
    <t>GH</t>
  </si>
  <si>
    <t>No 2</t>
  </si>
  <si>
    <t>Rio de Brava</t>
  </si>
  <si>
    <t>Canberra</t>
  </si>
  <si>
    <t>Australia</t>
  </si>
  <si>
    <t>NA848</t>
  </si>
  <si>
    <t>KJ</t>
  </si>
  <si>
    <t>President Ave</t>
  </si>
  <si>
    <t>Vienna</t>
  </si>
  <si>
    <t>Austria</t>
  </si>
  <si>
    <t>GA222</t>
  </si>
  <si>
    <t>Kanda Bay</t>
  </si>
  <si>
    <t>Baku</t>
  </si>
  <si>
    <t>Azerbaijan</t>
  </si>
  <si>
    <t>E5N 8BH</t>
  </si>
  <si>
    <t>PO Box 77</t>
  </si>
  <si>
    <t>Nakayaal</t>
  </si>
  <si>
    <t>Nassau</t>
  </si>
  <si>
    <t>Bahamas</t>
  </si>
  <si>
    <t>Bfpo 40</t>
  </si>
  <si>
    <t>PO Box 76</t>
  </si>
  <si>
    <t>Nakulabye</t>
  </si>
  <si>
    <t>Manama</t>
  </si>
  <si>
    <t>Bahrain</t>
  </si>
  <si>
    <t>B63 3HA</t>
  </si>
  <si>
    <t>OFFSHORE</t>
  </si>
  <si>
    <t>Avenue</t>
  </si>
  <si>
    <t>Dhaka</t>
  </si>
  <si>
    <t>Bangladesh</t>
  </si>
  <si>
    <t>FK1 2BX</t>
  </si>
  <si>
    <t>PO Box 6778</t>
  </si>
  <si>
    <t>Post Office</t>
  </si>
  <si>
    <t>Bridgetown</t>
  </si>
  <si>
    <t>Barbados</t>
  </si>
  <si>
    <t>Po Box 68</t>
  </si>
  <si>
    <t>Embassy Place</t>
  </si>
  <si>
    <t>Minsk</t>
  </si>
  <si>
    <t>Belarus</t>
  </si>
  <si>
    <t>GY7 9XQ</t>
  </si>
  <si>
    <t>Seaton Square</t>
  </si>
  <si>
    <t>Brussels</t>
  </si>
  <si>
    <t>Belgium</t>
  </si>
  <si>
    <t>HJ43</t>
  </si>
  <si>
    <t>Avenue de la Liberation</t>
  </si>
  <si>
    <t>Belmopan</t>
  </si>
  <si>
    <t>Belize</t>
  </si>
  <si>
    <t>Porto-Novo</t>
  </si>
  <si>
    <t>Benin</t>
  </si>
  <si>
    <t>Thimphu</t>
  </si>
  <si>
    <t>Bhutan</t>
  </si>
  <si>
    <t>K2M 1N8</t>
  </si>
  <si>
    <t>Skopje</t>
  </si>
  <si>
    <t>Macedonia (FYROM)</t>
  </si>
  <si>
    <t>N2L 1P3</t>
  </si>
  <si>
    <t>Antananarivo</t>
  </si>
  <si>
    <t>Madagascar</t>
  </si>
  <si>
    <t>K0M 1S0</t>
  </si>
  <si>
    <t>Lilongwe</t>
  </si>
  <si>
    <t>Malawi</t>
  </si>
  <si>
    <t>Kuala Lumpur</t>
  </si>
  <si>
    <t>Malaysia</t>
  </si>
  <si>
    <t>Male</t>
  </si>
  <si>
    <t>Maldives</t>
  </si>
  <si>
    <t>ALSL99</t>
  </si>
  <si>
    <t>Bamako</t>
  </si>
  <si>
    <t>Mali</t>
  </si>
  <si>
    <t>UI 89</t>
  </si>
  <si>
    <t>Valletta</t>
  </si>
  <si>
    <t>Malta</t>
  </si>
  <si>
    <t>LAJ 90</t>
  </si>
  <si>
    <t>Majuro</t>
  </si>
  <si>
    <t>Marshall Islands</t>
  </si>
  <si>
    <t>Nouakchott</t>
  </si>
  <si>
    <t>Mauritania</t>
  </si>
  <si>
    <t>BATH STREET</t>
  </si>
  <si>
    <t>Port Louis</t>
  </si>
  <si>
    <t>Mauritius</t>
  </si>
  <si>
    <t>Mexico City</t>
  </si>
  <si>
    <t>Mexico</t>
  </si>
  <si>
    <t>Palikir</t>
  </si>
  <si>
    <t>Micronesia</t>
  </si>
  <si>
    <t>Chisinau</t>
  </si>
  <si>
    <t>Moldova</t>
  </si>
  <si>
    <t>Monaco</t>
  </si>
  <si>
    <t>Ulaanbaatar</t>
  </si>
  <si>
    <t>Mongolia</t>
  </si>
  <si>
    <t>Podgorica</t>
  </si>
  <si>
    <t>Montenegro</t>
  </si>
  <si>
    <t>Rabat</t>
  </si>
  <si>
    <t>Morocco</t>
  </si>
  <si>
    <t>SHA 99</t>
  </si>
  <si>
    <t>Maputo</t>
  </si>
  <si>
    <t>Mozambique</t>
  </si>
  <si>
    <t>Praia</t>
  </si>
  <si>
    <t>Cabo Verde</t>
  </si>
  <si>
    <t>Phnom Penh</t>
  </si>
  <si>
    <t>Cambodia</t>
  </si>
  <si>
    <t>Yaounde</t>
  </si>
  <si>
    <t>Cameroon</t>
  </si>
  <si>
    <t>TY8 9IO</t>
  </si>
  <si>
    <t>Ottawa</t>
  </si>
  <si>
    <t>Canada</t>
  </si>
  <si>
    <t>Bangui</t>
  </si>
  <si>
    <t>Central African Republic</t>
  </si>
  <si>
    <t>N'Djamena</t>
  </si>
  <si>
    <t>Chad</t>
  </si>
  <si>
    <t>YYYI99</t>
  </si>
  <si>
    <t>Santiago</t>
  </si>
  <si>
    <t>Chile</t>
  </si>
  <si>
    <t>First Name</t>
  </si>
  <si>
    <t>Andrew</t>
  </si>
  <si>
    <t>Blake</t>
  </si>
  <si>
    <t xml:space="preserve">James </t>
  </si>
  <si>
    <t>Kirsten</t>
  </si>
  <si>
    <t>Lisa</t>
  </si>
  <si>
    <t>Dan</t>
  </si>
  <si>
    <t>Cattermole</t>
  </si>
  <si>
    <t>Simon</t>
  </si>
  <si>
    <t>Heather</t>
  </si>
  <si>
    <t>Doublard</t>
  </si>
  <si>
    <t>John</t>
  </si>
  <si>
    <t>Fi</t>
  </si>
  <si>
    <t>Sue</t>
  </si>
  <si>
    <t>Elizabeth</t>
  </si>
  <si>
    <t>Hart</t>
  </si>
  <si>
    <t>Emma</t>
  </si>
  <si>
    <t>Connor</t>
  </si>
  <si>
    <t>Hartley</t>
  </si>
  <si>
    <t>Suey</t>
  </si>
  <si>
    <t>Bob</t>
  </si>
  <si>
    <t>Hassel</t>
  </si>
  <si>
    <t>Hill</t>
  </si>
  <si>
    <t>Jenny</t>
  </si>
  <si>
    <t>Liz</t>
  </si>
  <si>
    <t>Sasha</t>
  </si>
  <si>
    <t>Jones</t>
  </si>
  <si>
    <t>Andy</t>
  </si>
  <si>
    <t>Le Gal</t>
  </si>
  <si>
    <t>Margaret</t>
  </si>
  <si>
    <t>Jane</t>
  </si>
  <si>
    <t>Le Motte</t>
  </si>
  <si>
    <t>Mantle</t>
  </si>
  <si>
    <t>Bruce</t>
  </si>
  <si>
    <t>Monkhouse</t>
  </si>
  <si>
    <t>Kyle</t>
  </si>
  <si>
    <t>Moore</t>
  </si>
  <si>
    <t>Raf</t>
  </si>
  <si>
    <t>Morel</t>
  </si>
  <si>
    <t>Murphey</t>
  </si>
  <si>
    <t>Penfold</t>
  </si>
  <si>
    <t>Sarah</t>
  </si>
  <si>
    <t>Christopher</t>
  </si>
  <si>
    <t>Pienowski</t>
  </si>
  <si>
    <t>Rankin</t>
  </si>
  <si>
    <t>Sally</t>
  </si>
  <si>
    <t>Russell</t>
  </si>
  <si>
    <t>Eleanor</t>
  </si>
  <si>
    <t>Smith</t>
  </si>
  <si>
    <t>Tompkins</t>
  </si>
  <si>
    <t>Waller</t>
  </si>
  <si>
    <t>Employee Records</t>
  </si>
  <si>
    <t>Employee Name</t>
  </si>
  <si>
    <t>Dept</t>
  </si>
  <si>
    <t>A M Blackmore</t>
  </si>
  <si>
    <t>Business Development</t>
  </si>
  <si>
    <t>J Blagg</t>
  </si>
  <si>
    <t>R Young</t>
  </si>
  <si>
    <t>Customer Services</t>
  </si>
  <si>
    <t>P Adams</t>
  </si>
  <si>
    <t>Marketing</t>
  </si>
  <si>
    <t>F Morel</t>
  </si>
  <si>
    <t>E Mantle</t>
  </si>
  <si>
    <t>R Parr</t>
  </si>
  <si>
    <t>A Stammes</t>
  </si>
  <si>
    <t>J Wright</t>
  </si>
  <si>
    <t>E Gleeson</t>
  </si>
  <si>
    <t>E Formby</t>
  </si>
  <si>
    <t>S Frigot</t>
  </si>
  <si>
    <t>E Morel</t>
  </si>
  <si>
    <t>H Wright</t>
  </si>
  <si>
    <t>S Hartley</t>
  </si>
  <si>
    <t>A Sterling-Jones</t>
  </si>
  <si>
    <t>R Jones</t>
  </si>
  <si>
    <t>T Moffa</t>
  </si>
  <si>
    <t>P Biard</t>
  </si>
  <si>
    <t>G Rennie</t>
  </si>
  <si>
    <t>P Croft</t>
  </si>
  <si>
    <t>G Porter</t>
  </si>
  <si>
    <t>S Les Vesconte</t>
  </si>
  <si>
    <t>S Emberson</t>
  </si>
  <si>
    <t>S Baudain</t>
  </si>
  <si>
    <t>M Garford</t>
  </si>
  <si>
    <t>L Thomson</t>
  </si>
  <si>
    <t>CM Blake</t>
  </si>
  <si>
    <t>EM Malan</t>
  </si>
  <si>
    <t>F Hart</t>
  </si>
  <si>
    <t>S Falle</t>
  </si>
  <si>
    <t>Finance</t>
  </si>
  <si>
    <t>J Kyi</t>
  </si>
  <si>
    <t>L Wong</t>
  </si>
  <si>
    <t>T George</t>
  </si>
  <si>
    <t>S Lawrence</t>
  </si>
  <si>
    <t>A Sheldrake</t>
  </si>
  <si>
    <t>J Kye</t>
  </si>
  <si>
    <t>Funds</t>
  </si>
  <si>
    <t>D Young</t>
  </si>
  <si>
    <t>D Adams</t>
  </si>
  <si>
    <t>A Morel</t>
  </si>
  <si>
    <t>K Mantle</t>
  </si>
  <si>
    <t>R Hart</t>
  </si>
  <si>
    <t>V Stammes</t>
  </si>
  <si>
    <t>A Wright</t>
  </si>
  <si>
    <t>H Lavery</t>
  </si>
  <si>
    <t>E Le Maistre</t>
  </si>
  <si>
    <t>A Frigot</t>
  </si>
  <si>
    <t>Compliance</t>
  </si>
  <si>
    <t>KF Morel</t>
  </si>
  <si>
    <t>L Wright</t>
  </si>
  <si>
    <t>L Hartley</t>
  </si>
  <si>
    <t>A Cook</t>
  </si>
  <si>
    <t>A Jones</t>
  </si>
  <si>
    <t>P Michel</t>
  </si>
  <si>
    <t>P Le Brocq</t>
  </si>
  <si>
    <t>GA Rennie</t>
  </si>
  <si>
    <t>P Crowcroft</t>
  </si>
  <si>
    <t>GL Porter</t>
  </si>
  <si>
    <t>S Le Coix</t>
  </si>
  <si>
    <t>Operations</t>
  </si>
  <si>
    <t>H Smith</t>
  </si>
  <si>
    <t>T Baudain</t>
  </si>
  <si>
    <t>G Garford</t>
  </si>
  <si>
    <t>C Thomson</t>
  </si>
  <si>
    <t>C Blake</t>
  </si>
  <si>
    <t>E Malan de Merindol</t>
  </si>
  <si>
    <t>H Hart</t>
  </si>
  <si>
    <t>B Falle</t>
  </si>
  <si>
    <t>J Lo</t>
  </si>
  <si>
    <t>L Lu</t>
  </si>
  <si>
    <t>C George</t>
  </si>
  <si>
    <t>A Lawrence</t>
  </si>
  <si>
    <t>Asset Register</t>
  </si>
  <si>
    <t>Date</t>
  </si>
  <si>
    <t>iQ</t>
  </si>
  <si>
    <t>Dixons</t>
  </si>
  <si>
    <t>Sure</t>
  </si>
  <si>
    <t>Dell</t>
  </si>
  <si>
    <t>JT</t>
  </si>
  <si>
    <t xml:space="preserve">Expenditure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</si>
  <si>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</si>
  <si>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</si>
  <si>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</si>
  <si>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</si>
  <si>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</si>
  <si>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</si>
  <si>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</si>
  <si>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</si>
  <si>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</si>
  <si>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</si>
  <si>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</si>
  <si>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Petrol</t>
  </si>
  <si>
    <t>Paycards</t>
  </si>
  <si>
    <t>Car Insurance</t>
  </si>
  <si>
    <t>Electricity</t>
  </si>
  <si>
    <t>IT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</si>
</sst>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[$£-809]* #,##0.00_-;\-[$£-809]* #,##0.00_-;_-[$£-809]* &quot;-&quot;??_-;_-@_-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_(&quot;£&quot;* #,##0.00_);_(&quot;£&quot;* \(#,##0.00\);_(&quot;$&quot;* &quot;-&quot;??_);_(@_)"/>
    <numFmt numFmtId="168" formatCode="_-* #,##0_-;\-* #,##0_-;_-* &quot;-&quot;??_-;_-@_-"/>
    <numFmt numFmtId="169" formatCode="&quot;£&quot;#,##0.00"/>
  </numFmts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name val="Verdana"/>
      <family val="2"/>
    </font>
    <font>
      <b/>
      <sz val="12"/>
      <color indexed="63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b/>
      <sz val="11"/>
      <color theme="1"/>
      <name val="HP Simplified Light"/>
    </font>
    <font>
      <sz val="11"/>
      <color theme="1"/>
      <name val="HP Simplified Light"/>
      <family val="2"/>
    </font>
    <font>
      <b/>
      <i/>
      <sz val="11"/>
      <color theme="1"/>
      <name val="HP Simplified Light"/>
    </font>
    <font>
      <sz val="9"/>
      <name val="Arial"/>
      <family val="2"/>
    </font>
    <font>
      <sz val="11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</font>
    <font>
      <b/>
      <sz val="10"/>
      <name val="Century Gothic"/>
      <family val="2"/>
    </font>
    <font>
      <b/>
      <sz val="14"/>
      <color theme="1"/>
      <name val="Aptos Narrow"/>
      <family val="2"/>
      <scheme val="minor"/>
    </font>
    <font>
      <sz val="11"/>
      <color indexed="8"/>
      <name val="Arial"/>
      <family val="2"/>
    </font>
    <font>
      <sz val="11"/>
      <color indexed="8"/>
      <name val="Century Gothic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i/>
      <sz val="9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8" tint="0.39997558519241921"/>
      </left>
      <right/>
      <top style="thin">
        <color indexed="64"/>
      </top>
      <bottom style="thin">
        <color theme="8" tint="0.39997558519241921"/>
      </bottom>
      <diagonal/>
    </border>
    <border>
      <left/>
      <right/>
      <top style="thin">
        <color indexed="64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indexed="64"/>
      </top>
      <bottom style="thin">
        <color theme="8" tint="0.3999755851924192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3" fontId="22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80">
    <xf numFmtId="0" fontId="0" fillId="0" borderId="0" xfId="0"/>
    <xf numFmtId="0" fontId="1" fillId="0" borderId="0" xfId="1"/>
    <xf numFmtId="0" fontId="1" fillId="2" borderId="1" xfId="1" applyFill="1" applyBorder="1"/>
    <xf numFmtId="0" fontId="1" fillId="2" borderId="2" xfId="1" applyFill="1" applyBorder="1"/>
    <xf numFmtId="0" fontId="1" fillId="2" borderId="3" xfId="1" applyFill="1" applyBorder="1"/>
    <xf numFmtId="0" fontId="1" fillId="2" borderId="4" xfId="1" applyFill="1" applyBorder="1"/>
    <xf numFmtId="43" fontId="0" fillId="0" borderId="5" xfId="2" applyFont="1" applyBorder="1"/>
    <xf numFmtId="43" fontId="0" fillId="0" borderId="0" xfId="2" applyFont="1" applyBorder="1"/>
    <xf numFmtId="43" fontId="0" fillId="0" borderId="6" xfId="2" applyFont="1" applyBorder="1"/>
    <xf numFmtId="0" fontId="1" fillId="2" borderId="7" xfId="1" applyFill="1" applyBorder="1"/>
    <xf numFmtId="0" fontId="1" fillId="2" borderId="8" xfId="1" applyFill="1" applyBorder="1"/>
    <xf numFmtId="43" fontId="0" fillId="0" borderId="9" xfId="2" applyFont="1" applyBorder="1"/>
    <xf numFmtId="43" fontId="0" fillId="0" borderId="10" xfId="2" applyFont="1" applyBorder="1"/>
    <xf numFmtId="43" fontId="0" fillId="0" borderId="11" xfId="2" applyFont="1" applyBorder="1"/>
    <xf numFmtId="0" fontId="1" fillId="0" borderId="12" xfId="1" applyBorder="1"/>
    <xf numFmtId="0" fontId="1" fillId="3" borderId="13" xfId="1" applyFill="1" applyBorder="1"/>
    <xf numFmtId="0" fontId="1" fillId="3" borderId="14" xfId="1" applyFill="1" applyBorder="1"/>
    <xf numFmtId="0" fontId="1" fillId="3" borderId="5" xfId="1" applyFill="1" applyBorder="1"/>
    <xf numFmtId="43" fontId="0" fillId="0" borderId="12" xfId="2" applyFont="1" applyBorder="1"/>
    <xf numFmtId="43" fontId="0" fillId="0" borderId="13" xfId="2" applyFont="1" applyBorder="1"/>
    <xf numFmtId="43" fontId="0" fillId="0" borderId="14" xfId="2" applyFont="1" applyBorder="1"/>
    <xf numFmtId="0" fontId="1" fillId="3" borderId="15" xfId="1" applyFill="1" applyBorder="1"/>
    <xf numFmtId="43" fontId="0" fillId="0" borderId="15" xfId="2" applyFont="1" applyBorder="1"/>
    <xf numFmtId="43" fontId="0" fillId="0" borderId="16" xfId="2" applyFont="1" applyBorder="1"/>
    <xf numFmtId="43" fontId="0" fillId="0" borderId="17" xfId="2" applyFont="1" applyBorder="1"/>
    <xf numFmtId="0" fontId="4" fillId="4" borderId="18" xfId="3" applyFill="1" applyBorder="1" applyAlignment="1">
      <alignment vertical="center"/>
    </xf>
    <xf numFmtId="0" fontId="4" fillId="4" borderId="18" xfId="3" applyFill="1" applyBorder="1" applyAlignment="1">
      <alignment horizontal="center" vertical="center"/>
    </xf>
    <xf numFmtId="0" fontId="4" fillId="0" borderId="0" xfId="3" applyAlignment="1">
      <alignment vertical="center"/>
    </xf>
    <xf numFmtId="44" fontId="0" fillId="0" borderId="18" xfId="4" applyFont="1" applyBorder="1" applyAlignment="1">
      <alignment vertical="center"/>
    </xf>
    <xf numFmtId="9" fontId="4" fillId="0" borderId="18" xfId="3" applyNumberFormat="1" applyBorder="1" applyAlignment="1">
      <alignment horizontal="center" vertical="center"/>
    </xf>
    <xf numFmtId="0" fontId="4" fillId="0" borderId="0" xfId="3" applyAlignment="1">
      <alignment horizontal="center" vertical="center"/>
    </xf>
    <xf numFmtId="0" fontId="4" fillId="4" borderId="18" xfId="3" applyFill="1" applyBorder="1" applyAlignment="1" applyProtection="1">
      <alignment vertical="center"/>
      <protection locked="0"/>
    </xf>
    <xf numFmtId="9" fontId="0" fillId="4" borderId="18" xfId="5" applyFont="1" applyFill="1" applyBorder="1" applyAlignment="1" applyProtection="1">
      <alignment horizontal="center" vertical="center"/>
      <protection locked="0"/>
    </xf>
    <xf numFmtId="0" fontId="4" fillId="0" borderId="0" xfId="3" applyAlignment="1" applyProtection="1">
      <alignment vertical="center"/>
      <protection locked="0"/>
    </xf>
    <xf numFmtId="0" fontId="4" fillId="0" borderId="18" xfId="3" applyBorder="1" applyAlignment="1" applyProtection="1">
      <alignment vertical="center"/>
      <protection locked="0"/>
    </xf>
    <xf numFmtId="44" fontId="0" fillId="0" borderId="18" xfId="4" applyFont="1" applyBorder="1" applyAlignment="1" applyProtection="1">
      <alignment vertical="center"/>
      <protection locked="0"/>
    </xf>
    <xf numFmtId="9" fontId="0" fillId="5" borderId="18" xfId="5" applyFont="1" applyFill="1" applyBorder="1" applyAlignment="1" applyProtection="1">
      <alignment horizontal="center" vertical="center"/>
      <protection locked="0"/>
    </xf>
    <xf numFmtId="44" fontId="0" fillId="0" borderId="18" xfId="4" applyFont="1" applyBorder="1" applyAlignment="1" applyProtection="1">
      <alignment vertical="center"/>
    </xf>
    <xf numFmtId="9" fontId="0" fillId="0" borderId="0" xfId="5" applyFont="1" applyAlignment="1" applyProtection="1">
      <alignment vertical="center"/>
      <protection locked="0"/>
    </xf>
    <xf numFmtId="9" fontId="0" fillId="0" borderId="0" xfId="5" applyFont="1" applyAlignment="1" applyProtection="1">
      <alignment horizontal="center" vertical="center"/>
      <protection locked="0"/>
    </xf>
    <xf numFmtId="0" fontId="6" fillId="6" borderId="18" xfId="3" applyFont="1" applyFill="1" applyBorder="1"/>
    <xf numFmtId="0" fontId="4" fillId="0" borderId="0" xfId="3"/>
    <xf numFmtId="164" fontId="4" fillId="0" borderId="18" xfId="3" applyNumberFormat="1" applyBorder="1"/>
    <xf numFmtId="9" fontId="4" fillId="0" borderId="18" xfId="3" applyNumberFormat="1" applyBorder="1"/>
    <xf numFmtId="0" fontId="6" fillId="6" borderId="18" xfId="3" applyFont="1" applyFill="1" applyBorder="1" applyAlignment="1">
      <alignment horizontal="center" vertical="center"/>
    </xf>
    <xf numFmtId="0" fontId="6" fillId="6" borderId="18" xfId="3" applyFont="1" applyFill="1" applyBorder="1" applyAlignment="1">
      <alignment vertical="center"/>
    </xf>
    <xf numFmtId="0" fontId="4" fillId="0" borderId="18" xfId="3" applyBorder="1" applyAlignment="1">
      <alignment horizontal="center" vertical="center"/>
    </xf>
    <xf numFmtId="164" fontId="4" fillId="0" borderId="18" xfId="3" applyNumberFormat="1" applyBorder="1" applyAlignment="1">
      <alignment vertical="center"/>
    </xf>
    <xf numFmtId="9" fontId="0" fillId="0" borderId="18" xfId="5" applyFont="1" applyBorder="1" applyAlignment="1">
      <alignment horizontal="center" vertical="center"/>
    </xf>
    <xf numFmtId="0" fontId="5" fillId="0" borderId="0" xfId="6"/>
    <xf numFmtId="0" fontId="7" fillId="7" borderId="19" xfId="6" applyFont="1" applyFill="1" applyBorder="1"/>
    <xf numFmtId="44" fontId="7" fillId="7" borderId="20" xfId="7" applyNumberFormat="1" applyFont="1" applyFill="1" applyBorder="1"/>
    <xf numFmtId="167" fontId="7" fillId="7" borderId="20" xfId="8" applyNumberFormat="1" applyFont="1" applyFill="1" applyBorder="1" applyAlignment="1">
      <alignment horizontal="left"/>
    </xf>
    <xf numFmtId="0" fontId="7" fillId="7" borderId="21" xfId="6" applyFont="1" applyFill="1" applyBorder="1" applyAlignment="1">
      <alignment horizontal="center" vertical="center"/>
    </xf>
    <xf numFmtId="0" fontId="5" fillId="0" borderId="22" xfId="6" applyBorder="1"/>
    <xf numFmtId="166" fontId="0" fillId="0" borderId="0" xfId="8" applyFont="1" applyBorder="1"/>
    <xf numFmtId="0" fontId="5" fillId="0" borderId="23" xfId="6" applyBorder="1" applyAlignment="1">
      <alignment horizontal="center" vertical="center"/>
    </xf>
    <xf numFmtId="44" fontId="0" fillId="0" borderId="0" xfId="7" applyNumberFormat="1" applyFont="1" applyBorder="1"/>
    <xf numFmtId="167" fontId="0" fillId="0" borderId="0" xfId="8" applyNumberFormat="1" applyFont="1" applyBorder="1"/>
    <xf numFmtId="0" fontId="5" fillId="0" borderId="24" xfId="6" applyBorder="1"/>
    <xf numFmtId="44" fontId="0" fillId="0" borderId="25" xfId="7" applyNumberFormat="1" applyFont="1" applyBorder="1"/>
    <xf numFmtId="167" fontId="0" fillId="0" borderId="25" xfId="8" applyNumberFormat="1" applyFont="1" applyBorder="1"/>
    <xf numFmtId="0" fontId="5" fillId="0" borderId="26" xfId="6" applyBorder="1" applyAlignment="1">
      <alignment horizontal="center" vertical="center"/>
    </xf>
    <xf numFmtId="0" fontId="5" fillId="0" borderId="25" xfId="6" applyBorder="1"/>
    <xf numFmtId="166" fontId="0" fillId="0" borderId="25" xfId="8" applyFont="1" applyBorder="1"/>
    <xf numFmtId="166" fontId="0" fillId="0" borderId="0" xfId="8" applyFont="1"/>
    <xf numFmtId="0" fontId="5" fillId="0" borderId="0" xfId="6" applyAlignment="1">
      <alignment horizontal="center" vertical="center"/>
    </xf>
    <xf numFmtId="167" fontId="0" fillId="0" borderId="0" xfId="8" applyNumberFormat="1" applyFont="1"/>
    <xf numFmtId="44" fontId="0" fillId="0" borderId="0" xfId="7" applyNumberFormat="1" applyFont="1"/>
    <xf numFmtId="0" fontId="6" fillId="6" borderId="0" xfId="6" applyFont="1" applyFill="1"/>
    <xf numFmtId="0" fontId="7" fillId="8" borderId="0" xfId="6" applyFont="1" applyFill="1" applyAlignment="1">
      <alignment horizontal="center"/>
    </xf>
    <xf numFmtId="0" fontId="5" fillId="0" borderId="0" xfId="6" applyAlignment="1">
      <alignment horizontal="center"/>
    </xf>
    <xf numFmtId="49" fontId="5" fillId="0" borderId="0" xfId="6" applyNumberFormat="1"/>
    <xf numFmtId="14" fontId="5" fillId="0" borderId="0" xfId="6" applyNumberFormat="1"/>
    <xf numFmtId="0" fontId="7" fillId="8" borderId="0" xfId="6" applyFont="1" applyFill="1"/>
    <xf numFmtId="0" fontId="3" fillId="0" borderId="0" xfId="9" applyFont="1"/>
    <xf numFmtId="0" fontId="1" fillId="0" borderId="0" xfId="9"/>
    <xf numFmtId="0" fontId="1" fillId="5" borderId="19" xfId="9" applyFill="1" applyBorder="1" applyAlignment="1">
      <alignment horizontal="center" vertical="center" wrapText="1"/>
    </xf>
    <xf numFmtId="0" fontId="1" fillId="5" borderId="20" xfId="9" applyFill="1" applyBorder="1" applyAlignment="1">
      <alignment horizontal="center" vertical="center"/>
    </xf>
    <xf numFmtId="0" fontId="1" fillId="5" borderId="21" xfId="9" applyFill="1" applyBorder="1" applyAlignment="1">
      <alignment horizontal="center" vertical="center"/>
    </xf>
    <xf numFmtId="0" fontId="4" fillId="0" borderId="27" xfId="3" applyBorder="1"/>
    <xf numFmtId="0" fontId="4" fillId="0" borderId="28" xfId="3" applyBorder="1"/>
    <xf numFmtId="0" fontId="4" fillId="0" borderId="29" xfId="3" applyBorder="1"/>
    <xf numFmtId="0" fontId="4" fillId="0" borderId="22" xfId="3" applyBorder="1"/>
    <xf numFmtId="0" fontId="4" fillId="0" borderId="23" xfId="3" applyBorder="1"/>
    <xf numFmtId="0" fontId="4" fillId="0" borderId="24" xfId="3" applyBorder="1"/>
    <xf numFmtId="0" fontId="4" fillId="0" borderId="25" xfId="3" applyBorder="1"/>
    <xf numFmtId="0" fontId="4" fillId="0" borderId="26" xfId="3" applyBorder="1"/>
    <xf numFmtId="0" fontId="1" fillId="0" borderId="0" xfId="9" applyAlignment="1">
      <alignment wrapText="1"/>
    </xf>
    <xf numFmtId="0" fontId="7" fillId="9" borderId="0" xfId="6" applyFont="1" applyFill="1" applyAlignment="1">
      <alignment horizontal="center"/>
    </xf>
    <xf numFmtId="0" fontId="9" fillId="0" borderId="0" xfId="6" applyFont="1"/>
    <xf numFmtId="0" fontId="7" fillId="9" borderId="0" xfId="6" applyFont="1" applyFill="1"/>
    <xf numFmtId="3" fontId="5" fillId="0" borderId="0" xfId="6" applyNumberFormat="1"/>
    <xf numFmtId="10" fontId="5" fillId="0" borderId="0" xfId="6" applyNumberFormat="1"/>
    <xf numFmtId="0" fontId="10" fillId="0" borderId="0" xfId="6" applyFont="1"/>
    <xf numFmtId="9" fontId="0" fillId="5" borderId="18" xfId="5" applyFont="1" applyFill="1" applyBorder="1" applyAlignment="1">
      <alignment horizontal="center" vertical="center"/>
    </xf>
    <xf numFmtId="0" fontId="6" fillId="10" borderId="18" xfId="3" applyFont="1" applyFill="1" applyBorder="1" applyAlignment="1">
      <alignment horizontal="center" vertical="center"/>
    </xf>
    <xf numFmtId="0" fontId="4" fillId="0" borderId="0" xfId="3" applyAlignment="1">
      <alignment horizontal="center"/>
    </xf>
    <xf numFmtId="0" fontId="12" fillId="11" borderId="27" xfId="6" applyFont="1" applyFill="1" applyBorder="1" applyAlignment="1">
      <alignment horizontal="center" vertical="center"/>
    </xf>
    <xf numFmtId="0" fontId="12" fillId="11" borderId="30" xfId="6" applyFont="1" applyFill="1" applyBorder="1" applyAlignment="1">
      <alignment horizontal="center" vertical="center"/>
    </xf>
    <xf numFmtId="0" fontId="12" fillId="11" borderId="18" xfId="6" applyFont="1" applyFill="1" applyBorder="1" applyAlignment="1">
      <alignment horizontal="left" vertical="center"/>
    </xf>
    <xf numFmtId="0" fontId="13" fillId="0" borderId="18" xfId="6" applyFont="1" applyBorder="1" applyAlignment="1">
      <alignment horizontal="left" vertical="center"/>
    </xf>
    <xf numFmtId="0" fontId="14" fillId="0" borderId="27" xfId="6" applyFont="1" applyBorder="1" applyAlignment="1">
      <alignment horizontal="center" vertical="center"/>
    </xf>
    <xf numFmtId="0" fontId="14" fillId="0" borderId="27" xfId="6" applyFont="1" applyBorder="1" applyAlignment="1">
      <alignment vertical="center"/>
    </xf>
    <xf numFmtId="0" fontId="14" fillId="0" borderId="30" xfId="6" applyFont="1" applyBorder="1" applyAlignment="1">
      <alignment vertical="center"/>
    </xf>
    <xf numFmtId="0" fontId="4" fillId="5" borderId="18" xfId="3" applyFill="1" applyBorder="1" applyAlignment="1">
      <alignment vertical="center"/>
    </xf>
    <xf numFmtId="0" fontId="5" fillId="0" borderId="0" xfId="3" applyFont="1" applyAlignment="1">
      <alignment vertical="center"/>
    </xf>
    <xf numFmtId="0" fontId="14" fillId="0" borderId="30" xfId="6" applyFont="1" applyBorder="1" applyAlignment="1">
      <alignment horizontal="left" vertical="center"/>
    </xf>
    <xf numFmtId="0" fontId="14" fillId="0" borderId="31" xfId="6" applyFont="1" applyBorder="1" applyAlignment="1">
      <alignment horizontal="center" vertical="center"/>
    </xf>
    <xf numFmtId="0" fontId="14" fillId="0" borderId="32" xfId="6" applyFont="1" applyBorder="1" applyAlignment="1">
      <alignment vertical="center"/>
    </xf>
    <xf numFmtId="0" fontId="14" fillId="0" borderId="33" xfId="6" applyFont="1" applyBorder="1" applyAlignment="1">
      <alignment vertical="center"/>
    </xf>
    <xf numFmtId="0" fontId="17" fillId="0" borderId="0" xfId="3" applyFont="1" applyAlignment="1">
      <alignment horizontal="center" vertical="center"/>
    </xf>
    <xf numFmtId="0" fontId="17" fillId="0" borderId="0" xfId="3" applyFont="1" applyAlignment="1">
      <alignment vertical="center"/>
    </xf>
    <xf numFmtId="0" fontId="2" fillId="12" borderId="34" xfId="10" applyFont="1" applyFill="1" applyBorder="1" applyAlignment="1">
      <alignment horizontal="center" vertical="center"/>
    </xf>
    <xf numFmtId="0" fontId="2" fillId="12" borderId="35" xfId="10" applyFont="1" applyFill="1" applyBorder="1" applyAlignment="1">
      <alignment horizontal="center" vertical="center"/>
    </xf>
    <xf numFmtId="0" fontId="2" fillId="12" borderId="36" xfId="10" applyFont="1" applyFill="1" applyBorder="1" applyAlignment="1">
      <alignment horizontal="center" vertical="center"/>
    </xf>
    <xf numFmtId="0" fontId="18" fillId="0" borderId="0" xfId="10" applyFont="1" applyAlignment="1">
      <alignment horizontal="center" vertical="center"/>
    </xf>
    <xf numFmtId="0" fontId="19" fillId="0" borderId="34" xfId="10" applyFont="1" applyBorder="1" applyAlignment="1">
      <alignment horizontal="center" vertical="center"/>
    </xf>
    <xf numFmtId="9" fontId="19" fillId="0" borderId="35" xfId="11" applyFont="1" applyBorder="1" applyAlignment="1">
      <alignment horizontal="center" vertical="center"/>
    </xf>
    <xf numFmtId="0" fontId="19" fillId="0" borderId="36" xfId="10" applyFont="1" applyBorder="1" applyAlignment="1">
      <alignment horizontal="center" vertical="center"/>
    </xf>
    <xf numFmtId="0" fontId="19" fillId="0" borderId="0" xfId="10" applyFont="1" applyAlignment="1">
      <alignment horizontal="center" vertical="center"/>
    </xf>
    <xf numFmtId="0" fontId="19" fillId="0" borderId="37" xfId="10" applyFont="1" applyBorder="1" applyAlignment="1">
      <alignment horizontal="center" vertical="center"/>
    </xf>
    <xf numFmtId="9" fontId="19" fillId="0" borderId="38" xfId="11" applyFont="1" applyBorder="1" applyAlignment="1">
      <alignment horizontal="center" vertical="center"/>
    </xf>
    <xf numFmtId="0" fontId="19" fillId="0" borderId="39" xfId="10" applyFont="1" applyBorder="1" applyAlignment="1">
      <alignment horizontal="center" vertical="center"/>
    </xf>
    <xf numFmtId="0" fontId="1" fillId="0" borderId="0" xfId="10"/>
    <xf numFmtId="0" fontId="2" fillId="13" borderId="40" xfId="10" applyFont="1" applyFill="1" applyBorder="1" applyAlignment="1">
      <alignment horizontal="center" vertical="center"/>
    </xf>
    <xf numFmtId="0" fontId="2" fillId="13" borderId="41" xfId="10" applyFont="1" applyFill="1" applyBorder="1" applyAlignment="1">
      <alignment horizontal="center" vertical="center"/>
    </xf>
    <xf numFmtId="0" fontId="2" fillId="13" borderId="42" xfId="10" applyFont="1" applyFill="1" applyBorder="1" applyAlignment="1">
      <alignment horizontal="center" vertical="center"/>
    </xf>
    <xf numFmtId="0" fontId="18" fillId="14" borderId="19" xfId="10" applyFont="1" applyFill="1" applyBorder="1" applyAlignment="1">
      <alignment horizontal="center" vertical="center"/>
    </xf>
    <xf numFmtId="0" fontId="18" fillId="14" borderId="18" xfId="10" applyFont="1" applyFill="1" applyBorder="1" applyAlignment="1">
      <alignment horizontal="center" vertical="center"/>
    </xf>
    <xf numFmtId="0" fontId="19" fillId="5" borderId="43" xfId="10" applyFont="1" applyFill="1" applyBorder="1" applyAlignment="1">
      <alignment horizontal="center" vertical="center"/>
    </xf>
    <xf numFmtId="0" fontId="19" fillId="0" borderId="43" xfId="10" applyFont="1" applyBorder="1" applyAlignment="1">
      <alignment horizontal="center" vertical="center"/>
    </xf>
    <xf numFmtId="44" fontId="19" fillId="0" borderId="43" xfId="12" applyFont="1" applyBorder="1" applyAlignment="1">
      <alignment horizontal="center" vertical="center"/>
    </xf>
    <xf numFmtId="9" fontId="19" fillId="5" borderId="43" xfId="11" applyFont="1" applyFill="1" applyBorder="1" applyAlignment="1">
      <alignment horizontal="center" vertical="center"/>
    </xf>
    <xf numFmtId="44" fontId="19" fillId="5" borderId="43" xfId="12" applyFont="1" applyFill="1" applyBorder="1" applyAlignment="1">
      <alignment horizontal="center" vertical="center"/>
    </xf>
    <xf numFmtId="0" fontId="19" fillId="0" borderId="19" xfId="10" applyFont="1" applyBorder="1" applyAlignment="1">
      <alignment horizontal="left" vertical="center"/>
    </xf>
    <xf numFmtId="0" fontId="1" fillId="15" borderId="18" xfId="10" applyFill="1" applyBorder="1" applyAlignment="1">
      <alignment vertical="center"/>
    </xf>
    <xf numFmtId="0" fontId="19" fillId="0" borderId="18" xfId="10" applyFont="1" applyBorder="1" applyAlignment="1">
      <alignment horizontal="center" vertical="center"/>
    </xf>
    <xf numFmtId="44" fontId="19" fillId="0" borderId="18" xfId="10" applyNumberFormat="1" applyFont="1" applyBorder="1" applyAlignment="1">
      <alignment horizontal="center" vertical="center"/>
    </xf>
    <xf numFmtId="0" fontId="19" fillId="0" borderId="18" xfId="10" applyFont="1" applyBorder="1" applyAlignment="1">
      <alignment vertical="center" wrapText="1"/>
    </xf>
    <xf numFmtId="44" fontId="19" fillId="0" borderId="18" xfId="10" applyNumberFormat="1" applyFont="1" applyBorder="1" applyAlignment="1">
      <alignment vertical="center"/>
    </xf>
    <xf numFmtId="0" fontId="19" fillId="0" borderId="19" xfId="10" applyFont="1" applyBorder="1" applyAlignment="1">
      <alignment horizontal="left" vertical="center" wrapText="1"/>
    </xf>
    <xf numFmtId="0" fontId="1" fillId="0" borderId="0" xfId="10" applyAlignment="1">
      <alignment vertical="center"/>
    </xf>
    <xf numFmtId="9" fontId="19" fillId="0" borderId="0" xfId="11" applyFont="1" applyAlignment="1">
      <alignment horizontal="center" vertical="center"/>
    </xf>
    <xf numFmtId="0" fontId="21" fillId="0" borderId="18" xfId="13" quotePrefix="1" applyFont="1" applyBorder="1" applyAlignment="1">
      <alignment horizontal="center" vertical="center"/>
    </xf>
    <xf numFmtId="0" fontId="21" fillId="16" borderId="20" xfId="13" applyFont="1" applyFill="1" applyBorder="1" applyAlignment="1">
      <alignment horizontal="center"/>
    </xf>
    <xf numFmtId="0" fontId="21" fillId="16" borderId="19" xfId="13" applyFont="1" applyFill="1" applyBorder="1" applyAlignment="1">
      <alignment horizontal="center"/>
    </xf>
    <xf numFmtId="0" fontId="21" fillId="16" borderId="21" xfId="13" applyFont="1" applyFill="1" applyBorder="1" applyAlignment="1">
      <alignment horizontal="center"/>
    </xf>
    <xf numFmtId="0" fontId="21" fillId="0" borderId="18" xfId="13" applyFont="1" applyBorder="1" applyAlignment="1">
      <alignment horizontal="center" vertical="center"/>
    </xf>
    <xf numFmtId="0" fontId="21" fillId="17" borderId="44" xfId="13" applyFont="1" applyFill="1" applyBorder="1" applyAlignment="1">
      <alignment horizontal="center" vertical="center"/>
    </xf>
    <xf numFmtId="43" fontId="21" fillId="0" borderId="0" xfId="14" applyFont="1" applyProtection="1"/>
    <xf numFmtId="43" fontId="21" fillId="0" borderId="0" xfId="14" quotePrefix="1" applyFont="1" applyProtection="1"/>
    <xf numFmtId="43" fontId="21" fillId="0" borderId="22" xfId="14" applyFont="1" applyBorder="1" applyProtection="1"/>
    <xf numFmtId="43" fontId="21" fillId="0" borderId="23" xfId="13" applyNumberFormat="1" applyFont="1" applyBorder="1"/>
    <xf numFmtId="43" fontId="21" fillId="0" borderId="20" xfId="14" applyFont="1" applyBorder="1" applyProtection="1"/>
    <xf numFmtId="43" fontId="1" fillId="0" borderId="20" xfId="14" applyFont="1" applyBorder="1" applyProtection="1"/>
    <xf numFmtId="9" fontId="1" fillId="0" borderId="0" xfId="5" applyFont="1" applyBorder="1" applyProtection="1"/>
    <xf numFmtId="49" fontId="23" fillId="0" borderId="30" xfId="9" applyNumberFormat="1" applyFont="1" applyBorder="1"/>
    <xf numFmtId="49" fontId="25" fillId="0" borderId="0" xfId="9" applyNumberFormat="1" applyFont="1"/>
    <xf numFmtId="49" fontId="1" fillId="0" borderId="0" xfId="9" applyNumberFormat="1"/>
    <xf numFmtId="0" fontId="23" fillId="0" borderId="44" xfId="9" applyFont="1" applyBorder="1"/>
    <xf numFmtId="0" fontId="25" fillId="0" borderId="0" xfId="9" applyFont="1"/>
    <xf numFmtId="0" fontId="24" fillId="9" borderId="0" xfId="9" applyFont="1" applyFill="1" applyAlignment="1">
      <alignment horizontal="center"/>
    </xf>
    <xf numFmtId="9" fontId="24" fillId="9" borderId="0" xfId="5" applyFont="1" applyFill="1" applyBorder="1" applyAlignment="1" applyProtection="1">
      <alignment horizontal="center"/>
    </xf>
    <xf numFmtId="0" fontId="24" fillId="9" borderId="0" xfId="9" applyFont="1" applyFill="1" applyAlignment="1">
      <alignment horizontal="center" wrapText="1"/>
    </xf>
    <xf numFmtId="0" fontId="24" fillId="9" borderId="6" xfId="9" applyFont="1" applyFill="1" applyBorder="1" applyAlignment="1">
      <alignment wrapText="1"/>
    </xf>
    <xf numFmtId="43" fontId="25" fillId="0" borderId="0" xfId="15" applyFont="1" applyFill="1" applyBorder="1" applyProtection="1"/>
    <xf numFmtId="9" fontId="25" fillId="0" borderId="0" xfId="5" applyFont="1" applyFill="1" applyBorder="1" applyProtection="1"/>
    <xf numFmtId="43" fontId="24" fillId="0" borderId="0" xfId="15" applyFont="1" applyFill="1" applyBorder="1" applyProtection="1"/>
    <xf numFmtId="43" fontId="25" fillId="0" borderId="6" xfId="15" applyFont="1" applyFill="1" applyBorder="1" applyProtection="1"/>
    <xf numFmtId="0" fontId="24" fillId="0" borderId="45" xfId="9" applyFont="1" applyBorder="1"/>
    <xf numFmtId="43" fontId="24" fillId="0" borderId="10" xfId="15" applyFont="1" applyFill="1" applyBorder="1" applyProtection="1"/>
    <xf numFmtId="9" fontId="24" fillId="0" borderId="10" xfId="5" applyFont="1" applyBorder="1" applyProtection="1"/>
    <xf numFmtId="9" fontId="24" fillId="0" borderId="10" xfId="5" applyFont="1" applyFill="1" applyBorder="1" applyProtection="1"/>
    <xf numFmtId="0" fontId="24" fillId="0" borderId="0" xfId="9" applyFont="1"/>
    <xf numFmtId="0" fontId="26" fillId="0" borderId="0" xfId="9" applyFont="1"/>
    <xf numFmtId="9" fontId="25" fillId="0" borderId="0" xfId="5" applyFont="1" applyBorder="1" applyProtection="1"/>
    <xf numFmtId="9" fontId="1" fillId="0" borderId="0" xfId="5" applyFont="1" applyFill="1" applyBorder="1" applyProtection="1"/>
    <xf numFmtId="0" fontId="21" fillId="18" borderId="20" xfId="13" applyFont="1" applyFill="1" applyBorder="1" applyAlignment="1">
      <alignment horizontal="center" vertical="center"/>
    </xf>
    <xf numFmtId="0" fontId="21" fillId="18" borderId="21" xfId="13" applyFont="1" applyFill="1" applyBorder="1" applyAlignment="1">
      <alignment horizontal="center"/>
    </xf>
    <xf numFmtId="0" fontId="21" fillId="0" borderId="0" xfId="13" applyFont="1" applyAlignment="1">
      <alignment horizontal="center" vertical="center"/>
    </xf>
    <xf numFmtId="43" fontId="21" fillId="0" borderId="23" xfId="14" applyFont="1" applyFill="1" applyBorder="1"/>
    <xf numFmtId="0" fontId="21" fillId="0" borderId="10" xfId="13" applyFont="1" applyBorder="1" applyAlignment="1">
      <alignment horizontal="center" vertical="center"/>
    </xf>
    <xf numFmtId="43" fontId="21" fillId="0" borderId="46" xfId="14" applyFont="1" applyFill="1" applyBorder="1"/>
    <xf numFmtId="0" fontId="21" fillId="0" borderId="47" xfId="13" applyFont="1" applyBorder="1" applyAlignment="1">
      <alignment horizontal="center" vertical="center"/>
    </xf>
    <xf numFmtId="43" fontId="1" fillId="0" borderId="46" xfId="14" applyFont="1" applyFill="1" applyBorder="1"/>
    <xf numFmtId="0" fontId="27" fillId="0" borderId="0" xfId="9" applyFont="1"/>
    <xf numFmtId="0" fontId="1" fillId="16" borderId="0" xfId="9" applyFill="1" applyAlignment="1">
      <alignment horizontal="center"/>
    </xf>
    <xf numFmtId="0" fontId="1" fillId="16" borderId="0" xfId="9" quotePrefix="1" applyFill="1" applyAlignment="1">
      <alignment horizontal="center"/>
    </xf>
    <xf numFmtId="0" fontId="1" fillId="0" borderId="0" xfId="9" applyAlignment="1">
      <alignment horizontal="center"/>
    </xf>
    <xf numFmtId="2" fontId="4" fillId="0" borderId="0" xfId="3" applyNumberFormat="1"/>
    <xf numFmtId="168" fontId="1" fillId="0" borderId="0" xfId="15" applyNumberFormat="1" applyFont="1"/>
    <xf numFmtId="168" fontId="1" fillId="19" borderId="0" xfId="9" applyNumberFormat="1" applyFill="1"/>
    <xf numFmtId="0" fontId="1" fillId="0" borderId="0" xfId="9" applyAlignment="1">
      <alignment horizontal="center" vertical="center"/>
    </xf>
    <xf numFmtId="43" fontId="1" fillId="0" borderId="0" xfId="15" applyFont="1"/>
    <xf numFmtId="14" fontId="1" fillId="0" borderId="0" xfId="9" applyNumberFormat="1"/>
    <xf numFmtId="43" fontId="21" fillId="0" borderId="0" xfId="13" applyNumberFormat="1" applyFont="1" applyAlignment="1">
      <alignment horizontal="center" vertical="center"/>
    </xf>
    <xf numFmtId="0" fontId="1" fillId="0" borderId="10" xfId="9" applyBorder="1"/>
    <xf numFmtId="49" fontId="4" fillId="0" borderId="10" xfId="3" applyNumberFormat="1" applyBorder="1"/>
    <xf numFmtId="168" fontId="1" fillId="0" borderId="10" xfId="9" applyNumberFormat="1" applyBorder="1"/>
    <xf numFmtId="0" fontId="1" fillId="20" borderId="20" xfId="9" applyFill="1" applyBorder="1"/>
    <xf numFmtId="0" fontId="1" fillId="20" borderId="20" xfId="9" applyFill="1" applyBorder="1" applyAlignment="1">
      <alignment horizontal="center" vertical="center"/>
    </xf>
    <xf numFmtId="0" fontId="27" fillId="0" borderId="0" xfId="9" applyFont="1" applyAlignment="1">
      <alignment horizontal="center"/>
    </xf>
    <xf numFmtId="0" fontId="21" fillId="0" borderId="30" xfId="13" applyFont="1" applyBorder="1" applyAlignment="1">
      <alignment horizontal="center" vertical="center"/>
    </xf>
    <xf numFmtId="0" fontId="21" fillId="0" borderId="0" xfId="13" applyFont="1"/>
    <xf numFmtId="0" fontId="21" fillId="0" borderId="22" xfId="13" applyFont="1" applyBorder="1"/>
    <xf numFmtId="43" fontId="21" fillId="0" borderId="0" xfId="14" applyFont="1"/>
    <xf numFmtId="43" fontId="21" fillId="0" borderId="0" xfId="14" quotePrefix="1" applyFont="1"/>
    <xf numFmtId="43" fontId="21" fillId="0" borderId="22" xfId="14" applyFont="1" applyBorder="1"/>
    <xf numFmtId="43" fontId="1" fillId="0" borderId="20" xfId="14" applyFont="1" applyBorder="1"/>
    <xf numFmtId="43" fontId="21" fillId="0" borderId="20" xfId="14" applyFont="1" applyBorder="1"/>
    <xf numFmtId="43" fontId="21" fillId="0" borderId="21" xfId="14" applyFont="1" applyBorder="1"/>
    <xf numFmtId="43" fontId="21" fillId="0" borderId="18" xfId="13" applyNumberFormat="1" applyFont="1" applyBorder="1"/>
    <xf numFmtId="0" fontId="21" fillId="0" borderId="44" xfId="13" applyFont="1" applyBorder="1" applyAlignment="1">
      <alignment horizontal="center" vertical="center"/>
    </xf>
    <xf numFmtId="0" fontId="1" fillId="0" borderId="44" xfId="9" applyBorder="1" applyAlignment="1">
      <alignment horizontal="center" vertical="center"/>
    </xf>
    <xf numFmtId="43" fontId="1" fillId="0" borderId="0" xfId="14" applyFont="1"/>
    <xf numFmtId="43" fontId="21" fillId="0" borderId="21" xfId="13" applyNumberFormat="1" applyFont="1" applyBorder="1"/>
    <xf numFmtId="0" fontId="12" fillId="21" borderId="18" xfId="6" applyFont="1" applyFill="1" applyBorder="1" applyAlignment="1">
      <alignment horizontal="center" vertical="center"/>
    </xf>
    <xf numFmtId="164" fontId="12" fillId="21" borderId="18" xfId="6" applyNumberFormat="1" applyFont="1" applyFill="1" applyBorder="1"/>
    <xf numFmtId="0" fontId="12" fillId="21" borderId="18" xfId="6" applyFont="1" applyFill="1" applyBorder="1"/>
    <xf numFmtId="0" fontId="12" fillId="21" borderId="18" xfId="6" applyFont="1" applyFill="1" applyBorder="1" applyAlignment="1">
      <alignment horizontal="center"/>
    </xf>
    <xf numFmtId="0" fontId="17" fillId="0" borderId="0" xfId="3" applyFont="1"/>
    <xf numFmtId="0" fontId="17" fillId="0" borderId="0" xfId="6" applyFont="1"/>
    <xf numFmtId="0" fontId="17" fillId="0" borderId="0" xfId="6" applyFont="1" applyAlignment="1">
      <alignment horizontal="center" vertical="center"/>
    </xf>
    <xf numFmtId="164" fontId="17" fillId="0" borderId="0" xfId="6" applyNumberFormat="1" applyFont="1"/>
    <xf numFmtId="14" fontId="17" fillId="0" borderId="0" xfId="6" applyNumberFormat="1" applyFont="1"/>
    <xf numFmtId="49" fontId="17" fillId="0" borderId="0" xfId="6" applyNumberFormat="1" applyFont="1" applyAlignment="1">
      <alignment horizontal="center" vertical="center"/>
    </xf>
    <xf numFmtId="164" fontId="28" fillId="0" borderId="0" xfId="8" applyNumberFormat="1" applyFont="1" applyBorder="1"/>
    <xf numFmtId="0" fontId="17" fillId="0" borderId="0" xfId="6" applyFont="1" applyAlignment="1">
      <alignment horizontal="center"/>
    </xf>
    <xf numFmtId="49" fontId="6" fillId="21" borderId="18" xfId="6" applyNumberFormat="1" applyFont="1" applyFill="1" applyBorder="1" applyAlignment="1">
      <alignment horizontal="center" vertical="center"/>
    </xf>
    <xf numFmtId="0" fontId="6" fillId="21" borderId="18" xfId="6" applyFont="1" applyFill="1" applyBorder="1" applyAlignment="1">
      <alignment horizontal="center" vertical="center"/>
    </xf>
    <xf numFmtId="0" fontId="6" fillId="21" borderId="18" xfId="6" applyFont="1" applyFill="1" applyBorder="1"/>
    <xf numFmtId="0" fontId="6" fillId="21" borderId="44" xfId="6" applyFont="1" applyFill="1" applyBorder="1" applyAlignment="1">
      <alignment horizontal="center"/>
    </xf>
    <xf numFmtId="49" fontId="5" fillId="0" borderId="0" xfId="6" applyNumberFormat="1" applyAlignment="1">
      <alignment horizontal="center" vertical="center"/>
    </xf>
    <xf numFmtId="169" fontId="5" fillId="0" borderId="0" xfId="6" applyNumberFormat="1"/>
    <xf numFmtId="44" fontId="29" fillId="0" borderId="0" xfId="8" applyNumberFormat="1" applyFont="1" applyBorder="1"/>
    <xf numFmtId="0" fontId="7" fillId="7" borderId="0" xfId="6" applyFont="1" applyFill="1" applyAlignment="1">
      <alignment horizontal="left"/>
    </xf>
    <xf numFmtId="0" fontId="7" fillId="7" borderId="0" xfId="6" applyFont="1" applyFill="1"/>
    <xf numFmtId="44" fontId="7" fillId="7" borderId="0" xfId="7" applyNumberFormat="1" applyFont="1" applyFill="1"/>
    <xf numFmtId="0" fontId="7" fillId="0" borderId="0" xfId="6" applyFont="1"/>
    <xf numFmtId="0" fontId="5" fillId="0" borderId="0" xfId="6" applyAlignment="1">
      <alignment horizontal="left"/>
    </xf>
    <xf numFmtId="0" fontId="7" fillId="7" borderId="0" xfId="6" applyFont="1" applyFill="1" applyAlignment="1">
      <alignment horizontal="center" vertical="center"/>
    </xf>
    <xf numFmtId="0" fontId="7" fillId="0" borderId="0" xfId="6" applyFont="1" applyAlignment="1">
      <alignment horizontal="center" vertical="center"/>
    </xf>
    <xf numFmtId="0" fontId="5" fillId="11" borderId="18" xfId="6" applyFill="1" applyBorder="1"/>
    <xf numFmtId="0" fontId="30" fillId="11" borderId="18" xfId="6" applyFont="1" applyFill="1" applyBorder="1"/>
    <xf numFmtId="0" fontId="5" fillId="0" borderId="0" xfId="13"/>
    <xf numFmtId="0" fontId="21" fillId="0" borderId="48" xfId="13" applyFont="1" applyBorder="1"/>
    <xf numFmtId="0" fontId="21" fillId="9" borderId="49" xfId="13" applyFont="1" applyFill="1" applyBorder="1" applyAlignment="1">
      <alignment horizontal="center"/>
    </xf>
    <xf numFmtId="0" fontId="21" fillId="9" borderId="50" xfId="13" applyFont="1" applyFill="1" applyBorder="1" applyAlignment="1">
      <alignment horizontal="center"/>
    </xf>
    <xf numFmtId="0" fontId="21" fillId="9" borderId="51" xfId="13" applyFont="1" applyFill="1" applyBorder="1" applyAlignment="1">
      <alignment horizontal="center"/>
    </xf>
    <xf numFmtId="0" fontId="21" fillId="16" borderId="52" xfId="13" applyFont="1" applyFill="1" applyBorder="1"/>
    <xf numFmtId="43" fontId="32" fillId="0" borderId="53" xfId="14" applyFont="1" applyBorder="1"/>
    <xf numFmtId="43" fontId="32" fillId="0" borderId="18" xfId="14" applyFont="1" applyBorder="1"/>
    <xf numFmtId="43" fontId="32" fillId="0" borderId="54" xfId="14" applyFont="1" applyBorder="1"/>
    <xf numFmtId="43" fontId="5" fillId="0" borderId="0" xfId="13" applyNumberFormat="1"/>
    <xf numFmtId="0" fontId="21" fillId="16" borderId="55" xfId="13" applyFont="1" applyFill="1" applyBorder="1"/>
    <xf numFmtId="43" fontId="32" fillId="0" borderId="56" xfId="14" applyFont="1" applyBorder="1"/>
    <xf numFmtId="43" fontId="32" fillId="0" borderId="57" xfId="14" applyFont="1" applyBorder="1"/>
    <xf numFmtId="43" fontId="32" fillId="0" borderId="58" xfId="14" applyFont="1" applyBorder="1"/>
    <xf numFmtId="0" fontId="31" fillId="0" borderId="0" xfId="13" applyFont="1" applyAlignment="1">
      <alignment horizontal="center" vertical="center"/>
    </xf>
    <xf numFmtId="0" fontId="5" fillId="0" borderId="0" xfId="6" applyAlignment="1">
      <alignment horizontal="center"/>
    </xf>
    <xf numFmtId="0" fontId="1" fillId="16" borderId="0" xfId="9" applyFill="1" applyAlignment="1">
      <alignment horizontal="center"/>
    </xf>
    <xf numFmtId="0" fontId="27" fillId="0" borderId="28" xfId="9" applyFont="1" applyBorder="1" applyAlignment="1">
      <alignment horizontal="center"/>
    </xf>
    <xf numFmtId="0" fontId="21" fillId="5" borderId="18" xfId="13" applyFont="1" applyFill="1" applyBorder="1" applyAlignment="1">
      <alignment horizontal="center" vertical="center" textRotation="90"/>
    </xf>
    <xf numFmtId="49" fontId="24" fillId="0" borderId="13" xfId="9" applyNumberFormat="1" applyFont="1" applyBorder="1" applyAlignment="1">
      <alignment horizontal="center"/>
    </xf>
    <xf numFmtId="49" fontId="24" fillId="0" borderId="14" xfId="9" applyNumberFormat="1" applyFont="1" applyBorder="1" applyAlignment="1">
      <alignment horizontal="center"/>
    </xf>
    <xf numFmtId="0" fontId="24" fillId="0" borderId="0" xfId="9" applyFont="1" applyAlignment="1">
      <alignment horizontal="center"/>
    </xf>
    <xf numFmtId="0" fontId="24" fillId="0" borderId="6" xfId="9" applyFont="1" applyBorder="1" applyAlignment="1">
      <alignment horizontal="center"/>
    </xf>
    <xf numFmtId="0" fontId="21" fillId="0" borderId="18" xfId="13" applyFont="1" applyBorder="1" applyAlignment="1">
      <alignment horizontal="center" vertical="center"/>
    </xf>
    <xf numFmtId="0" fontId="11" fillId="0" borderId="18" xfId="3" applyFont="1" applyBorder="1" applyAlignment="1">
      <alignment horizontal="center" vertical="center"/>
    </xf>
    <xf numFmtId="0" fontId="5" fillId="0" borderId="0" xfId="3" applyFont="1" applyAlignment="1">
      <alignment horizontal="left"/>
    </xf>
    <xf numFmtId="0" fontId="9" fillId="0" borderId="0" xfId="6" applyFont="1" applyAlignment="1">
      <alignment horizontal="center"/>
    </xf>
    <xf numFmtId="0" fontId="1" fillId="0" borderId="27" xfId="9" applyBorder="1" applyAlignment="1">
      <alignment horizontal="center" vertical="center" wrapText="1"/>
    </xf>
    <xf numFmtId="0" fontId="1" fillId="0" borderId="28" xfId="9" applyBorder="1" applyAlignment="1">
      <alignment horizontal="center" vertical="center" wrapText="1"/>
    </xf>
    <xf numFmtId="0" fontId="1" fillId="0" borderId="29" xfId="9" applyBorder="1" applyAlignment="1">
      <alignment horizontal="center" vertical="center" wrapText="1"/>
    </xf>
    <xf numFmtId="0" fontId="1" fillId="0" borderId="24" xfId="9" applyBorder="1" applyAlignment="1">
      <alignment horizontal="center" vertical="center" wrapText="1"/>
    </xf>
    <xf numFmtId="0" fontId="1" fillId="0" borderId="25" xfId="9" applyBorder="1" applyAlignment="1">
      <alignment horizontal="center" vertical="center" wrapText="1"/>
    </xf>
    <xf numFmtId="0" fontId="1" fillId="0" borderId="26" xfId="9" applyBorder="1" applyAlignment="1">
      <alignment horizontal="center" vertical="center" wrapText="1"/>
    </xf>
    <xf numFmtId="0" fontId="8" fillId="0" borderId="0" xfId="6" applyFont="1" applyAlignment="1">
      <alignment horizontal="center"/>
    </xf>
    <xf numFmtId="0" fontId="6" fillId="6" borderId="0" xfId="6" applyFont="1" applyFill="1" applyAlignment="1">
      <alignment horizontal="center"/>
    </xf>
  </cellXfs>
  <cellStyles count="16">
    <cellStyle name="Comma 2" xfId="14" xr:uid="{F8D89EB8-34A6-4BFB-B011-34C8E631E696}"/>
    <cellStyle name="Comma 3" xfId="2" xr:uid="{753AD7C3-803E-4CCD-9272-4EC499E90C52}"/>
    <cellStyle name="Comma 4" xfId="15" xr:uid="{E82F3F29-E342-464A-8B22-BE9495984A1A}"/>
    <cellStyle name="Comma 5" xfId="7" xr:uid="{10E2BA06-DB34-45F1-8149-28A326C6E98B}"/>
    <cellStyle name="Currency 2" xfId="4" xr:uid="{11042041-1944-4166-B239-9071BC18607D}"/>
    <cellStyle name="Currency 2 2" xfId="12" xr:uid="{ADAE737F-FAB7-48C8-A0FC-8F6E304A2252}"/>
    <cellStyle name="Currency 4" xfId="8" xr:uid="{F2437200-12CE-42BE-9843-E910CC461CB6}"/>
    <cellStyle name="Normal" xfId="0" builtinId="0"/>
    <cellStyle name="Normal 2" xfId="3" xr:uid="{1E13F166-D4AE-44C3-8B7C-CCD3C795FABC}"/>
    <cellStyle name="Normal 2 2" xfId="13" xr:uid="{32485FC4-54FE-4DC8-A8BC-220B323B1987}"/>
    <cellStyle name="Normal 3" xfId="9" xr:uid="{044ABDAE-E516-428F-B811-07E0CA6ABAD4}"/>
    <cellStyle name="Normal 3 2" xfId="6" xr:uid="{C9255E5F-B5B2-4FF7-9391-56EB329331B0}"/>
    <cellStyle name="Normal 4" xfId="1" xr:uid="{737AA337-1964-433D-9FFC-338F9DC7A2AE}"/>
    <cellStyle name="Normal 6" xfId="10" xr:uid="{B1B71675-2A70-4D51-A1DC-70F14D8F033D}"/>
    <cellStyle name="Percent 2" xfId="5" xr:uid="{95B4FB4D-BACE-491D-91D4-EFD9DDD72DB4}"/>
    <cellStyle name="Percent 2 2" xfId="11" xr:uid="{EFC5D4D8-E84B-4F3D-B692-FD304EC905CE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280056</xdr:colOff>
      <xdr:row>1</xdr:row>
      <xdr:rowOff>164991</xdr:rowOff>
    </xdr:from>
    <xdr:to>
      <xdr:col>17</xdr:col>
      <xdr:colOff>190500</xdr:colOff>
      <xdr:row>14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F6DC08-A612-465D-8B35-42FA0281399D}"/>
            </a:ext>
          </a:extLst>
        </xdr:cNvPr>
        <xdr:cNvSpPr txBox="1"/>
      </xdr:nvSpPr>
      <xdr:spPr>
        <a:xfrm>
          <a:off x="9135131" y="428516"/>
          <a:ext cx="2504419" cy="20352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/>
            <a:t>1. Name Jan</a:t>
          </a:r>
        </a:p>
        <a:p>
          <a:r>
            <a:rPr lang="en-GB" sz="1200" b="1"/>
            <a:t>2. Name Feb</a:t>
          </a:r>
        </a:p>
        <a:p>
          <a:r>
            <a:rPr lang="en-GB" sz="1200" b="1"/>
            <a:t>3. Sum Jan</a:t>
          </a:r>
        </a:p>
        <a:p>
          <a:r>
            <a:rPr lang="en-GB" sz="1200" b="1"/>
            <a:t>4. Sum Feb on</a:t>
          </a:r>
          <a:r>
            <a:rPr lang="en-GB" sz="1200" b="1" baseline="0"/>
            <a:t> new worksheet</a:t>
          </a:r>
          <a:endParaRPr lang="en-GB" sz="1200" b="1"/>
        </a:p>
        <a:p>
          <a:r>
            <a:rPr lang="en-GB" sz="1200" b="1"/>
            <a:t>5. Name Petrol</a:t>
          </a:r>
        </a:p>
        <a:p>
          <a:r>
            <a:rPr lang="en-GB" sz="1200" b="1"/>
            <a:t>6.</a:t>
          </a:r>
          <a:r>
            <a:rPr lang="en-GB" sz="1200" b="1" baseline="0"/>
            <a:t> How much Petrol was spent in Jan</a:t>
          </a:r>
        </a:p>
        <a:p>
          <a:r>
            <a:rPr lang="en-GB" sz="1200" b="1" baseline="0"/>
            <a:t>7. Edit a named range</a:t>
          </a:r>
        </a:p>
        <a:p>
          <a:r>
            <a:rPr lang="en-GB" sz="1200" b="1" baseline="0"/>
            <a:t>8. Delete a named range</a:t>
          </a:r>
          <a:endParaRPr lang="en-GB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161924</xdr:colOff>
      <xdr:row>2</xdr:row>
      <xdr:rowOff>61913</xdr:rowOff>
    </xdr:from>
    <xdr:to>
      <xdr:col>13</xdr:col>
      <xdr:colOff>242887</xdr:colOff>
      <xdr:row>9</xdr:row>
      <xdr:rowOff>76201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F3DF76-0DCE-4227-AE66-407DC6A8DC82}"/>
            </a:ext>
          </a:extLst>
        </xdr:cNvPr>
        <xdr:cNvSpPr txBox="1"/>
      </xdr:nvSpPr>
      <xdr:spPr>
        <a:xfrm>
          <a:off x="8042274" y="388938"/>
          <a:ext cx="3313113" cy="1144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</a:t>
          </a:r>
          <a:r>
            <a:rPr lang="en-GB" sz="1100" baseline="0"/>
            <a:t> When would you use a Vlookup?</a:t>
          </a:r>
        </a:p>
        <a:p>
          <a:r>
            <a:rPr lang="en-GB" sz="1100" baseline="0"/>
            <a:t>2. Name Table Array</a:t>
          </a:r>
        </a:p>
        <a:p>
          <a:r>
            <a:rPr lang="en-GB" sz="1100" baseline="0"/>
            <a:t>3. Identify Lookup Value</a:t>
          </a:r>
        </a:p>
        <a:p>
          <a:r>
            <a:rPr lang="en-GB" sz="1100" baseline="0"/>
            <a:t>4. Use Vlookup Wizard to find Employees' Names</a:t>
          </a:r>
        </a:p>
        <a:p>
          <a:r>
            <a:rPr lang="en-GB" sz="1100" baseline="0"/>
            <a:t>5. Use Vlookup Wizard to find Employees' Depts</a:t>
          </a:r>
        </a:p>
        <a:p>
          <a:r>
            <a:rPr lang="en-GB" sz="1100" baseline="0"/>
            <a:t>6. Repeat</a:t>
          </a:r>
        </a:p>
        <a:p>
          <a:endParaRPr lang="en-GB" sz="1100" baseline="0"/>
        </a:p>
        <a:p>
          <a:endParaRPr lang="en-GB" sz="110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542926</xdr:colOff>
      <xdr:row>1</xdr:row>
      <xdr:rowOff>47625</xdr:rowOff>
    </xdr:from>
    <xdr:to>
      <xdr:col>18</xdr:col>
      <xdr:colOff>176214</xdr:colOff>
      <xdr:row>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922A66-A391-4F92-BD95-1E1636253678}"/>
            </a:ext>
          </a:extLst>
        </xdr:cNvPr>
        <xdr:cNvSpPr txBox="1"/>
      </xdr:nvSpPr>
      <xdr:spPr>
        <a:xfrm>
          <a:off x="9274176" y="244475"/>
          <a:ext cx="5468938" cy="1184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</a:t>
          </a:r>
          <a:r>
            <a:rPr lang="en-GB" sz="1100" baseline="0"/>
            <a:t> If you needed to do multiple vlookups to bring across the address what would change?</a:t>
          </a:r>
        </a:p>
        <a:p>
          <a:r>
            <a:rPr lang="en-GB" sz="1100" baseline="0"/>
            <a:t>2. Can you do a Vlookup in the current format? </a:t>
          </a:r>
        </a:p>
        <a:p>
          <a:r>
            <a:rPr lang="en-GB" sz="1100" baseline="0"/>
            <a:t>3. Identify how to reference the lookup value</a:t>
          </a:r>
        </a:p>
        <a:p>
          <a:r>
            <a:rPr lang="en-GB" sz="1100" baseline="0"/>
            <a:t>4. Where would you need dollar signs?</a:t>
          </a:r>
        </a:p>
        <a:p>
          <a:r>
            <a:rPr lang="en-GB" sz="1100" baseline="0"/>
            <a:t>5. Repeat</a:t>
          </a:r>
        </a:p>
        <a:p>
          <a:r>
            <a:rPr lang="en-GB" sz="1100" baseline="0"/>
            <a:t>6. Or do vlookups multiple times for practice</a:t>
          </a:r>
        </a:p>
        <a:p>
          <a:endParaRPr lang="en-GB" sz="1100" baseline="0"/>
        </a:p>
        <a:p>
          <a:endParaRPr lang="en-GB" sz="1100" baseline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208616</xdr:colOff>
      <xdr:row>2</xdr:row>
      <xdr:rowOff>7471</xdr:rowOff>
    </xdr:from>
    <xdr:to>
      <xdr:col>15</xdr:col>
      <xdr:colOff>55656</xdr:colOff>
      <xdr:row>8</xdr:row>
      <xdr:rowOff>12234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7420DA-0248-4AFB-A18A-9AB4FA69B4AD}"/>
            </a:ext>
          </a:extLst>
        </xdr:cNvPr>
        <xdr:cNvSpPr txBox="1"/>
      </xdr:nvSpPr>
      <xdr:spPr>
        <a:xfrm>
          <a:off x="4799666" y="334496"/>
          <a:ext cx="6324040" cy="9699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</a:t>
          </a:r>
          <a:r>
            <a:rPr lang="en-GB" sz="1100" baseline="0"/>
            <a:t> When would you use a Vlookup</a:t>
          </a:r>
        </a:p>
        <a:p>
          <a:r>
            <a:rPr lang="en-GB" sz="1100" baseline="0"/>
            <a:t>2. Name Table Array</a:t>
          </a:r>
        </a:p>
        <a:p>
          <a:r>
            <a:rPr lang="en-GB" sz="1100" baseline="0"/>
            <a:t>3. Who has left the Company? Which individuals are on the Jan payroll but not on Feb's payroll?</a:t>
          </a:r>
        </a:p>
        <a:p>
          <a:r>
            <a:rPr lang="en-GB" sz="1100" baseline="0"/>
            <a:t>4. Who has joined the Company? Which individuals are on Feb payroll but no on Jan's?</a:t>
          </a:r>
        </a:p>
        <a:p>
          <a:endParaRPr lang="en-GB" sz="1100" baseline="0"/>
        </a:p>
        <a:p>
          <a:endParaRPr lang="en-GB" sz="1100" baseline="0"/>
        </a:p>
        <a:p>
          <a:endParaRPr lang="en-GB" sz="1100" baseline="0"/>
        </a:p>
        <a:p>
          <a:endParaRPr lang="en-GB" sz="11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</xdr:row>
      <xdr:rowOff>14287</xdr:rowOff>
    </xdr:from>
    <xdr:to>
      <xdr:col>16</xdr:col>
      <xdr:colOff>76200</xdr:colOff>
      <xdr:row>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176371-C611-4873-A6AD-CBD7C69F9599}"/>
            </a:ext>
          </a:extLst>
        </xdr:cNvPr>
        <xdr:cNvSpPr txBox="1"/>
      </xdr:nvSpPr>
      <xdr:spPr>
        <a:xfrm>
          <a:off x="7064375" y="192087"/>
          <a:ext cx="6318250" cy="8937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</a:t>
          </a:r>
          <a:r>
            <a:rPr lang="en-GB" sz="1100" baseline="0"/>
            <a:t> Do all the formulas again but without the wizard</a:t>
          </a:r>
        </a:p>
        <a:p>
          <a:r>
            <a:rPr lang="en-GB" sz="1100" baseline="0"/>
            <a:t>2. Write a vlookup formula to identify which accounts on February are not on January and are therefore new</a:t>
          </a:r>
        </a:p>
        <a:p>
          <a:r>
            <a:rPr lang="en-GB" sz="1100" baseline="0"/>
            <a:t>3. Modify the formula so that it says NEW and not N/A</a:t>
          </a:r>
        </a:p>
        <a:p>
          <a:r>
            <a:rPr lang="en-GB" sz="1100" baseline="0"/>
            <a:t>4. Re-do the formula on January to say CLOSED and not N/A</a:t>
          </a:r>
        </a:p>
        <a:p>
          <a:endParaRPr lang="en-GB" sz="1100" baseline="0"/>
        </a:p>
        <a:p>
          <a:endParaRPr lang="en-GB" sz="1100" baseline="0"/>
        </a:p>
        <a:p>
          <a:endParaRPr lang="en-GB" sz="1100" baseline="0"/>
        </a:p>
        <a:p>
          <a:endParaRPr lang="en-GB" sz="1100" baseline="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19049</xdr:colOff>
      <xdr:row>0</xdr:row>
      <xdr:rowOff>152399</xdr:rowOff>
    </xdr:from>
    <xdr:to>
      <xdr:col>29</xdr:col>
      <xdr:colOff>166687</xdr:colOff>
      <xdr:row>8</xdr:row>
      <xdr:rowOff>142874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190398-DDA3-43F1-8ACF-9741147425E9}"/>
            </a:ext>
          </a:extLst>
        </xdr:cNvPr>
        <xdr:cNvSpPr txBox="1"/>
      </xdr:nvSpPr>
      <xdr:spPr>
        <a:xfrm>
          <a:off x="14944724" y="152399"/>
          <a:ext cx="4678363" cy="150812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700"/>
            </a:lnSpc>
          </a:pPr>
          <a:endParaRPr lang="en-GB" sz="1100" b="0">
            <a:latin typeface="+mn-lt"/>
          </a:endParaRPr>
        </a:p>
        <a:p>
          <a:pPr>
            <a:lnSpc>
              <a:spcPts val="600"/>
            </a:lnSpc>
          </a:pPr>
          <a:r>
            <a:rPr lang="en-GB" sz="1100" b="0" i="0" baseline="0">
              <a:latin typeface="+mn-lt"/>
            </a:rPr>
            <a:t>Tasks:</a:t>
          </a:r>
        </a:p>
        <a:p>
          <a:pPr marL="228600" indent="-228600">
            <a:lnSpc>
              <a:spcPts val="900"/>
            </a:lnSpc>
            <a:buFont typeface="+mj-lt"/>
            <a:buAutoNum type="arabicPeriod"/>
          </a:pPr>
          <a:endParaRPr lang="en-GB" sz="1100" baseline="0">
            <a:latin typeface="+mn-lt"/>
          </a:endParaRPr>
        </a:p>
        <a:p>
          <a:pPr>
            <a:lnSpc>
              <a:spcPts val="1200"/>
            </a:lnSpc>
          </a:pP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Recreate each error messages </a:t>
          </a:r>
          <a:endParaRPr lang="en-GB">
            <a:effectLst/>
          </a:endParaRPr>
        </a:p>
        <a:p>
          <a:pPr>
            <a:lnSpc>
              <a:spcPts val="1200"/>
            </a:lnSpc>
          </a:pP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Idenitfy the reasons for each error message</a:t>
          </a:r>
          <a:endParaRPr lang="en-GB">
            <a:effectLst/>
          </a:endParaRPr>
        </a:p>
        <a:p>
          <a:pPr>
            <a:lnSpc>
              <a:spcPts val="1200"/>
            </a:lnSpc>
          </a:pP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What are the green tags signalling?</a:t>
          </a:r>
        </a:p>
        <a:p>
          <a:pPr>
            <a:lnSpc>
              <a:spcPts val="1200"/>
            </a:lnSpc>
          </a:pP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Fix each green tag</a:t>
          </a:r>
          <a:endParaRPr lang="en-GB">
            <a:effectLst/>
          </a:endParaRPr>
        </a:p>
        <a:p>
          <a:pPr>
            <a:lnSpc>
              <a:spcPts val="1200"/>
            </a:lnSpc>
          </a:pP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Show the formulas </a:t>
          </a:r>
        </a:p>
        <a:p>
          <a:pPr>
            <a:lnSpc>
              <a:spcPts val="1200"/>
            </a:lnSpc>
          </a:pP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Trace Precendents and Dependents</a:t>
          </a:r>
        </a:p>
        <a:p>
          <a:pPr>
            <a:lnSpc>
              <a:spcPts val="1200"/>
            </a:lnSpc>
          </a:pPr>
          <a:r>
            <a:rPr lang="en-GB">
              <a:effectLst/>
            </a:rPr>
            <a:t>7. Remove arrows</a:t>
          </a:r>
        </a:p>
        <a:p>
          <a:pPr marL="228600" indent="-228600">
            <a:lnSpc>
              <a:spcPts val="900"/>
            </a:lnSpc>
            <a:buFont typeface="+mj-lt"/>
            <a:buAutoNum type="arabicPeriod"/>
          </a:pPr>
          <a:endParaRPr lang="en-GB" sz="1100" baseline="0">
            <a:latin typeface="+mn-lt"/>
          </a:endParaRPr>
        </a:p>
        <a:p>
          <a:pPr>
            <a:lnSpc>
              <a:spcPts val="900"/>
            </a:lnSpc>
          </a:pPr>
          <a:endParaRPr lang="en-GB" sz="1100" baseline="0">
            <a:latin typeface="+mn-lt"/>
          </a:endParaRPr>
        </a:p>
        <a:p>
          <a:pPr>
            <a:lnSpc>
              <a:spcPts val="900"/>
            </a:lnSpc>
          </a:pPr>
          <a:endParaRPr lang="en-GB" sz="1100" baseline="0">
            <a:latin typeface="+mn-lt"/>
          </a:endParaRPr>
        </a:p>
        <a:p>
          <a:pPr>
            <a:lnSpc>
              <a:spcPts val="1200"/>
            </a:lnSpc>
          </a:pPr>
          <a:endParaRPr lang="en-GB" sz="1100">
            <a:latin typeface="+mn-lt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168966</xdr:colOff>
      <xdr:row>1</xdr:row>
      <xdr:rowOff>178078</xdr:rowOff>
    </xdr:from>
    <xdr:to>
      <xdr:col>23</xdr:col>
      <xdr:colOff>204995</xdr:colOff>
      <xdr:row>7</xdr:row>
      <xdr:rowOff>69369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25A89B-2F50-45F9-83DA-47A1AD5582D2}"/>
            </a:ext>
          </a:extLst>
        </xdr:cNvPr>
        <xdr:cNvSpPr txBox="1"/>
      </xdr:nvSpPr>
      <xdr:spPr>
        <a:xfrm>
          <a:off x="9446316" y="362228"/>
          <a:ext cx="6128854" cy="9707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aseline="0"/>
            <a:t>1. Find and highlight all formulas </a:t>
          </a:r>
        </a:p>
        <a:p>
          <a:r>
            <a:rPr lang="en-GB" sz="1100" baseline="0"/>
            <a:t>2. Remove locking off all cells</a:t>
          </a:r>
        </a:p>
        <a:p>
          <a:r>
            <a:rPr lang="en-GB" sz="1100" baseline="0"/>
            <a:t>3. Lock only cells with formulas</a:t>
          </a:r>
        </a:p>
        <a:p>
          <a:r>
            <a:rPr lang="en-GB" sz="1100" baseline="0"/>
            <a:t>4. Apply protection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12542</xdr:colOff>
      <xdr:row>17</xdr:row>
      <xdr:rowOff>10559</xdr:rowOff>
    </xdr:from>
    <xdr:to>
      <xdr:col>15</xdr:col>
      <xdr:colOff>417592</xdr:colOff>
      <xdr:row>21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0BEB57-BFE5-4625-8402-B5431549A9C8}"/>
            </a:ext>
          </a:extLst>
        </xdr:cNvPr>
        <xdr:cNvSpPr txBox="1"/>
      </xdr:nvSpPr>
      <xdr:spPr>
        <a:xfrm>
          <a:off x="9543892" y="2779159"/>
          <a:ext cx="1951275" cy="684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</a:t>
          </a:r>
          <a:r>
            <a:rPr lang="en-GB" sz="1100" baseline="0"/>
            <a:t> Find and protect all formulas</a:t>
          </a:r>
        </a:p>
        <a:p>
          <a:endParaRPr lang="en-GB" sz="1100" baseline="0"/>
        </a:p>
        <a:p>
          <a:endParaRPr lang="en-GB" sz="1100" baseline="0"/>
        </a:p>
        <a:p>
          <a:endParaRPr lang="en-GB" sz="1100" baseline="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5</xdr:row>
      <xdr:rowOff>180975</xdr:rowOff>
    </xdr:from>
    <xdr:to>
      <xdr:col>10</xdr:col>
      <xdr:colOff>95250</xdr:colOff>
      <xdr:row>8</xdr:row>
      <xdr:rowOff>66675</xdr:rowOff>
    </xdr:to>
    <xdr:sp macro="" textlink="">
      <xdr:nvSpPr>
        <xdr:cNvPr id="2" name="TextBox 1" hidden="1">
          <a:extLst>
            <a:ext uri="{FF2B5EF4-FFF2-40B4-BE49-F238E27FC236}">
              <a16:creationId xmlns:a16="http://schemas.microsoft.com/office/drawing/2014/main" id="{9F2CD257-5AE4-49B0-B4FD-C1F896BEF256}"/>
            </a:ext>
          </a:extLst>
        </xdr:cNvPr>
        <xdr:cNvSpPr txBox="1"/>
      </xdr:nvSpPr>
      <xdr:spPr>
        <a:xfrm>
          <a:off x="4276725" y="1320800"/>
          <a:ext cx="9858375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Create an</a:t>
          </a:r>
          <a:r>
            <a:rPr lang="en-GB" sz="1100" baseline="0"/>
            <a:t> Xlookup in B2 that will search for the asset number in A2 and return results for both B2 &amp; C2</a:t>
          </a:r>
        </a:p>
        <a:p>
          <a:endParaRPr lang="en-GB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338137</xdr:colOff>
      <xdr:row>4</xdr:row>
      <xdr:rowOff>1</xdr:rowOff>
    </xdr:from>
    <xdr:to>
      <xdr:col>9</xdr:col>
      <xdr:colOff>347662</xdr:colOff>
      <xdr:row>6</xdr:row>
      <xdr:rowOff>176213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2F5FDA-AD1B-4AA0-94F6-2D930FA5BE9D}"/>
            </a:ext>
          </a:extLst>
        </xdr:cNvPr>
        <xdr:cNvSpPr txBox="1"/>
      </xdr:nvSpPr>
      <xdr:spPr>
        <a:xfrm>
          <a:off x="5688012" y="676276"/>
          <a:ext cx="3616325" cy="5794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</a:t>
          </a:r>
          <a:r>
            <a:rPr lang="en-GB" sz="1100" baseline="0"/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Page Names using info on the Pages sheet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Replace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error message with the text "inputting error"</a:t>
          </a:r>
          <a:endParaRPr lang="en-GB">
            <a:effectLst/>
          </a:endParaRPr>
        </a:p>
        <a:p>
          <a:endParaRPr lang="en-GB" sz="1100" baseline="0"/>
        </a:p>
        <a:p>
          <a:endParaRPr lang="en-GB" sz="1100" baseline="0"/>
        </a:p>
        <a:p>
          <a:endParaRPr lang="en-GB" sz="1100" baseline="0"/>
        </a:p>
        <a:p>
          <a:endParaRPr lang="en-GB" sz="1100" baseline="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644770</xdr:colOff>
      <xdr:row>0</xdr:row>
      <xdr:rowOff>113567</xdr:rowOff>
    </xdr:from>
    <xdr:to>
      <xdr:col>13</xdr:col>
      <xdr:colOff>492370</xdr:colOff>
      <xdr:row>7</xdr:row>
      <xdr:rowOff>35901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EB2352-4C57-468D-BF57-CFA5B3C0CDFF}"/>
            </a:ext>
          </a:extLst>
        </xdr:cNvPr>
        <xdr:cNvSpPr txBox="1"/>
      </xdr:nvSpPr>
      <xdr:spPr>
        <a:xfrm>
          <a:off x="7255120" y="113567"/>
          <a:ext cx="4381500" cy="1198684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Insert a dropdown list for Employee names</a:t>
          </a:r>
          <a:endParaRPr lang="en-GB" sz="1100" b="0">
            <a:effectLst/>
          </a:endParaRPr>
        </a:p>
        <a:p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Insert a dropdown for Department to speed up data inputting</a:t>
          </a:r>
          <a:endParaRPr lang="en-GB" b="0">
            <a:effectLst/>
          </a:endParaRPr>
        </a:p>
        <a:p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Extension No must be 4 digits long</a:t>
          </a:r>
          <a:endParaRPr lang="en-GB" b="0">
            <a:effectLst/>
          </a:endParaRPr>
        </a:p>
        <a:p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Mobile No must be 11 digits</a:t>
          </a:r>
        </a:p>
        <a:p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Contract hours must be less than 38 hours a week</a:t>
          </a:r>
          <a:endParaRPr lang="en-GB" b="0">
            <a:effectLst/>
          </a:endParaRPr>
        </a:p>
        <a:p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Dates of Birth must be entered with forward slashes</a:t>
          </a:r>
          <a:endParaRPr lang="en-GB" sz="1100" b="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15</xdr:col>
      <xdr:colOff>500062</xdr:colOff>
      <xdr:row>8</xdr:row>
      <xdr:rowOff>4763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7891CB-FC0E-42BC-B5DB-DE7DCCA75B19}"/>
            </a:ext>
          </a:extLst>
        </xdr:cNvPr>
        <xdr:cNvSpPr txBox="1"/>
      </xdr:nvSpPr>
      <xdr:spPr>
        <a:xfrm>
          <a:off x="6210300" y="323850"/>
          <a:ext cx="6332537" cy="9794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aseline="0"/>
            <a:t>1. Why can't we do a Vlookup?</a:t>
          </a:r>
        </a:p>
        <a:p>
          <a:r>
            <a:rPr lang="en-GB" sz="1100" baseline="0"/>
            <a:t>2. Create a Lookup Value</a:t>
          </a:r>
        </a:p>
        <a:p>
          <a:r>
            <a:rPr lang="en-GB" sz="1100" baseline="0"/>
            <a:t>3. Insert a vlookup to bring across the balance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5</xdr:row>
      <xdr:rowOff>38099</xdr:rowOff>
    </xdr:from>
    <xdr:to>
      <xdr:col>10</xdr:col>
      <xdr:colOff>438150</xdr:colOff>
      <xdr:row>14</xdr:row>
      <xdr:rowOff>57149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09ED9F-D9F1-4E24-8116-44605B20C49B}"/>
            </a:ext>
          </a:extLst>
        </xdr:cNvPr>
        <xdr:cNvSpPr txBox="1"/>
      </xdr:nvSpPr>
      <xdr:spPr>
        <a:xfrm>
          <a:off x="5340350" y="847724"/>
          <a:ext cx="3232150" cy="147637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/>
        </a:p>
        <a:p>
          <a:pPr algn="ctr"/>
          <a:r>
            <a:rPr lang="en-GB" sz="1100"/>
            <a:t>Use</a:t>
          </a:r>
          <a:r>
            <a:rPr lang="en-GB" sz="1100" baseline="0"/>
            <a:t> the IFERROR function to insert the Customer Name from either the GBP or USD table</a:t>
          </a:r>
        </a:p>
        <a:p>
          <a:pPr algn="ctr"/>
          <a:endParaRPr lang="en-GB" sz="1100" baseline="0"/>
        </a:p>
        <a:p>
          <a:pPr algn="ctr"/>
          <a:r>
            <a:rPr lang="en-GB" sz="1100" baseline="0"/>
            <a:t>Replace the column_index_number with the COLUMN fuction and copy the formula to the Balance and Currency columns</a:t>
          </a:r>
          <a:endParaRPr lang="en-GB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6</xdr:row>
      <xdr:rowOff>47625</xdr:rowOff>
    </xdr:from>
    <xdr:to>
      <xdr:col>10</xdr:col>
      <xdr:colOff>400050</xdr:colOff>
      <xdr:row>11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83E935-52BE-4C58-9D93-AF22D014E7A7}"/>
            </a:ext>
          </a:extLst>
        </xdr:cNvPr>
        <xdr:cNvSpPr txBox="1"/>
      </xdr:nvSpPr>
      <xdr:spPr>
        <a:xfrm>
          <a:off x="4987925" y="1016000"/>
          <a:ext cx="3041650" cy="82867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  <a:p>
          <a:pPr algn="ctr"/>
          <a:r>
            <a:rPr lang="en-GB" sz="1100"/>
            <a:t>Insert the corresponding</a:t>
          </a:r>
          <a:r>
            <a:rPr lang="en-GB" sz="1100" baseline="0"/>
            <a:t> interest rate from the True Lookup table</a:t>
          </a:r>
          <a:endParaRPr lang="en-GB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142875</xdr:rowOff>
    </xdr:from>
    <xdr:to>
      <xdr:col>13</xdr:col>
      <xdr:colOff>381000</xdr:colOff>
      <xdr:row>8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5473A0-568F-4FB4-B33C-BEB289DE008F}"/>
            </a:ext>
          </a:extLst>
        </xdr:cNvPr>
        <xdr:cNvSpPr txBox="1"/>
      </xdr:nvSpPr>
      <xdr:spPr>
        <a:xfrm>
          <a:off x="5835650" y="139700"/>
          <a:ext cx="6070600" cy="17145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GB" sz="1100"/>
        </a:p>
        <a:p>
          <a:pPr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the Comm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% column (u</a:t>
          </a:r>
          <a:r>
            <a:rPr lang="en-GB" sz="1100"/>
            <a:t>sing either XLOOKUP or VLOOKUP) </a:t>
          </a:r>
          <a:r>
            <a:rPr lang="en-GB" sz="1100" baseline="0"/>
            <a:t>i</a:t>
          </a:r>
          <a:r>
            <a:rPr lang="en-GB" sz="1100"/>
            <a:t>nsert the correct commision % category </a:t>
          </a:r>
          <a:r>
            <a:rPr lang="en-GB" sz="1100" baseline="0"/>
            <a:t>from the Commission table on </a:t>
          </a:r>
          <a:r>
            <a:rPr lang="en-GB" sz="1100" b="1" i="1" u="none" baseline="0"/>
            <a:t>XL or VL Practice 2 </a:t>
          </a:r>
          <a:r>
            <a:rPr lang="en-GB" sz="1100" b="0" i="0" u="none" baseline="0"/>
            <a:t>sheet</a:t>
          </a:r>
          <a:endParaRPr lang="en-GB" sz="1100" b="1" i="1" u="none" baseline="0"/>
        </a:p>
        <a:p>
          <a:pPr algn="l"/>
          <a:endParaRPr lang="en-GB" sz="1100" baseline="0"/>
        </a:p>
        <a:p>
          <a:pPr algn="l"/>
          <a:r>
            <a:rPr lang="en-GB" sz="1100" baseline="0"/>
            <a:t>Use an IFERROR formula to replace the #N/A error messages with </a:t>
          </a:r>
          <a:r>
            <a:rPr lang="en-GB" sz="1100" b="1" i="1" baseline="0"/>
            <a:t>Amount below £50000</a:t>
          </a:r>
          <a:endParaRPr lang="en-GB" sz="1100" b="1" i="1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16</xdr:col>
      <xdr:colOff>600075</xdr:colOff>
      <xdr:row>7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D8B5BE-ACA3-4464-B3C1-65E333BC8D48}"/>
            </a:ext>
          </a:extLst>
        </xdr:cNvPr>
        <xdr:cNvSpPr txBox="1"/>
      </xdr:nvSpPr>
      <xdr:spPr>
        <a:xfrm>
          <a:off x="9067800" y="371475"/>
          <a:ext cx="3187700" cy="10350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  <a:p>
          <a:pPr algn="ctr"/>
          <a:r>
            <a:rPr lang="en-GB" sz="1100"/>
            <a:t>Use a HLOOKUP to insert the Totals for Qtr</a:t>
          </a:r>
          <a:r>
            <a:rPr lang="en-GB" sz="1100" baseline="0"/>
            <a:t> 4 from the Qtr_4 table</a:t>
          </a:r>
          <a:endParaRPr lang="en-GB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ntract5.sharepoint.com/sites/ALXTrainers/Shared%20Documents/Microsoft%20Excel/Excel%20-%20Formulas%20&amp;%20Functions%202%20Course/Do%20Not%20Use%20-%20Formulas%20&amp;%20Functions%20II%20-%20Training%20Doc.xlsx" TargetMode="External"/><Relationship Id="rId1" Type="http://schemas.openxmlformats.org/officeDocument/2006/relationships/externalLinkPath" Target="Do%20Not%20Use%20-%20Formulas%20&amp;%20Functions%20II%20-%20Training%20Do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me Range"/>
      <sheetName val="Asset Record"/>
      <sheetName val="Employee Record"/>
      <sheetName val="Invoice"/>
      <sheetName val="Address"/>
      <sheetName val="January"/>
      <sheetName val="February"/>
      <sheetName val="Error Messages"/>
      <sheetName val="Last Year"/>
      <sheetName val="Protect Formulas"/>
      <sheetName val="Protect Practice"/>
      <sheetName val="XL SALARY MASTER"/>
      <sheetName val="XL BONUS MASTER"/>
      <sheetName val="XL Match &amp; If not found"/>
      <sheetName val="XL Approx match"/>
      <sheetName val="XL Multiple Match"/>
      <sheetName val="XL Page Views"/>
      <sheetName val="XL Pages"/>
      <sheetName val="Validation Inputting"/>
      <sheetName val="Validation Lists"/>
      <sheetName val="Unique Values 1"/>
      <sheetName val="Unique Values 2"/>
      <sheetName val="FX"/>
      <sheetName val="GBP-USD"/>
      <sheetName val="Bank balance"/>
      <sheetName val="Interest_rates"/>
      <sheetName val="XL or VL Practice 1"/>
      <sheetName val="XL or VL Practice 2"/>
      <sheetName val="H-LOOKUP"/>
      <sheetName val="Qtr_4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>
        <row r="1">
          <cell r="C1" t="str">
            <v>Account</v>
          </cell>
          <cell r="D1" t="str">
            <v>Total</v>
          </cell>
        </row>
        <row r="2">
          <cell r="C2" t="str">
            <v>Salary</v>
          </cell>
          <cell r="D2">
            <v>20700</v>
          </cell>
        </row>
        <row r="3">
          <cell r="C3" t="str">
            <v>Tenants</v>
          </cell>
          <cell r="D3">
            <v>340</v>
          </cell>
        </row>
        <row r="4">
          <cell r="C4" t="str">
            <v>Host Family</v>
          </cell>
          <cell r="D4">
            <v>10</v>
          </cell>
        </row>
        <row r="5">
          <cell r="C5" t="str">
            <v>Total</v>
          </cell>
          <cell r="D5">
            <v>21050</v>
          </cell>
        </row>
        <row r="6">
          <cell r="C6" t="str">
            <v>Stationery</v>
          </cell>
          <cell r="D6">
            <v>231</v>
          </cell>
        </row>
        <row r="7">
          <cell r="C7" t="str">
            <v>Beverages</v>
          </cell>
          <cell r="D7">
            <v>233</v>
          </cell>
        </row>
        <row r="8">
          <cell r="C8" t="str">
            <v>Publications</v>
          </cell>
          <cell r="D8">
            <v>12</v>
          </cell>
        </row>
        <row r="9">
          <cell r="C9" t="str">
            <v>Literature</v>
          </cell>
          <cell r="D9">
            <v>32</v>
          </cell>
        </row>
        <row r="10">
          <cell r="C10" t="str">
            <v>Phone</v>
          </cell>
          <cell r="D10">
            <v>689</v>
          </cell>
        </row>
        <row r="11">
          <cell r="C11" t="str">
            <v>Rates</v>
          </cell>
          <cell r="D11">
            <v>55</v>
          </cell>
        </row>
        <row r="12">
          <cell r="C12" t="str">
            <v>Rent</v>
          </cell>
          <cell r="D12">
            <v>6666</v>
          </cell>
        </row>
        <row r="13">
          <cell r="C13" t="str">
            <v>Salaries</v>
          </cell>
          <cell r="D13">
            <v>4533</v>
          </cell>
        </row>
        <row r="14">
          <cell r="C14" t="str">
            <v>Total</v>
          </cell>
          <cell r="D14">
            <v>12451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z Ibbotson" id="{8A7BA0A3-F294-47AA-ADF5-7E7952FD43BD}" userId="S::Roz@alxtraining.com::0bac53bc-5003-4189-ad97-47eb7da80b2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4-04-15T15:20:33.81" personId="{8A7BA0A3-F294-47AA-ADF5-7E7952FD43BD}" id="{C7BF7357-A622-449B-98F8-3DC8D151B49D}">
    <text>Use Copy and Paste Special (Values)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8E3C-857D-45B4-A951-939BFB9F4E2F}">
  <sheetPr>
    <tabColor theme="9"/>
  </sheetPr>
  <dimension ref="A1:O18"/>
  <sheetViews>
    <sheetView tabSelected="1" zoomScale="120" zoomScaleNormal="120" workbookViewId="0">
      <selection activeCell="B17" sqref="B17"/>
    </sheetView>
  </sheetViews>
  <sheetFormatPr defaultColWidth="9.26953125" defaultRowHeight="12.5"/>
  <cols>
    <col min="1" max="1" width="12.26953125" style="245" bestFit="1" customWidth="1"/>
    <col min="2" max="13" width="9.54296875" style="245" bestFit="1" customWidth="1"/>
    <col min="14" max="16384" width="9.26953125" style="245"/>
  </cols>
  <sheetData>
    <row r="1" spans="1:15" ht="21" customHeight="1">
      <c r="A1" s="259" t="s">
        <v>778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5" ht="13" thickBot="1">
      <c r="A2" s="204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</row>
    <row r="3" spans="1:15">
      <c r="A3" s="246" t="s">
        <v>416</v>
      </c>
      <c r="B3" s="247" t="s">
        <v>779</v>
      </c>
      <c r="C3" s="248" t="s">
        <v>780</v>
      </c>
      <c r="D3" s="248" t="s">
        <v>781</v>
      </c>
      <c r="E3" s="248" t="s">
        <v>782</v>
      </c>
      <c r="F3" s="248" t="s">
        <v>405</v>
      </c>
      <c r="G3" s="248" t="s">
        <v>783</v>
      </c>
      <c r="H3" s="248" t="s">
        <v>784</v>
      </c>
      <c r="I3" s="248" t="s">
        <v>785</v>
      </c>
      <c r="J3" s="248" t="s">
        <v>786</v>
      </c>
      <c r="K3" s="248" t="s">
        <v>787</v>
      </c>
      <c r="L3" s="248" t="s">
        <v>788</v>
      </c>
      <c r="M3" s="249" t="s">
        <v>789</v>
      </c>
    </row>
    <row r="4" spans="1:15" ht="13">
      <c r="A4" s="250" t="s">
        <v>417</v>
      </c>
      <c r="B4" s="251">
        <v>233</v>
      </c>
      <c r="C4" s="252">
        <v>443</v>
      </c>
      <c r="D4" s="252">
        <v>23</v>
      </c>
      <c r="E4" s="252">
        <v>100</v>
      </c>
      <c r="F4" s="252">
        <v>232</v>
      </c>
      <c r="G4" s="252">
        <v>224</v>
      </c>
      <c r="H4" s="252">
        <v>105</v>
      </c>
      <c r="I4" s="252">
        <v>333</v>
      </c>
      <c r="J4" s="252">
        <v>235</v>
      </c>
      <c r="K4" s="252">
        <v>572</v>
      </c>
      <c r="L4" s="252">
        <v>322</v>
      </c>
      <c r="M4" s="253">
        <v>24</v>
      </c>
    </row>
    <row r="5" spans="1:15" ht="13">
      <c r="A5" s="250" t="s">
        <v>418</v>
      </c>
      <c r="B5" s="251">
        <v>12</v>
      </c>
      <c r="C5" s="252">
        <v>10</v>
      </c>
      <c r="D5" s="252">
        <v>12</v>
      </c>
      <c r="E5" s="252">
        <v>12</v>
      </c>
      <c r="F5" s="252">
        <v>11</v>
      </c>
      <c r="G5" s="252">
        <v>11</v>
      </c>
      <c r="H5" s="252">
        <v>11</v>
      </c>
      <c r="I5" s="252">
        <v>12</v>
      </c>
      <c r="J5" s="252">
        <v>10</v>
      </c>
      <c r="K5" s="252">
        <v>10</v>
      </c>
      <c r="L5" s="252">
        <v>10</v>
      </c>
      <c r="M5" s="253">
        <v>10</v>
      </c>
    </row>
    <row r="6" spans="1:15" ht="13">
      <c r="A6" s="250" t="s">
        <v>790</v>
      </c>
      <c r="B6" s="251">
        <v>140</v>
      </c>
      <c r="C6" s="252">
        <v>100</v>
      </c>
      <c r="D6" s="252">
        <v>100</v>
      </c>
      <c r="E6" s="252">
        <v>112</v>
      </c>
      <c r="F6" s="252">
        <v>95</v>
      </c>
      <c r="G6" s="252">
        <v>100</v>
      </c>
      <c r="H6" s="252">
        <v>100</v>
      </c>
      <c r="I6" s="252">
        <v>135</v>
      </c>
      <c r="J6" s="252">
        <v>85</v>
      </c>
      <c r="K6" s="252">
        <v>100</v>
      </c>
      <c r="L6" s="252">
        <v>110</v>
      </c>
      <c r="M6" s="253">
        <v>90</v>
      </c>
    </row>
    <row r="7" spans="1:15" ht="13">
      <c r="A7" s="250" t="s">
        <v>791</v>
      </c>
      <c r="B7" s="251">
        <v>27.5</v>
      </c>
      <c r="C7" s="252">
        <v>27.5</v>
      </c>
      <c r="D7" s="252">
        <v>27.5</v>
      </c>
      <c r="E7" s="252">
        <v>27.5</v>
      </c>
      <c r="F7" s="252">
        <v>27.5</v>
      </c>
      <c r="G7" s="252">
        <v>27.5</v>
      </c>
      <c r="H7" s="252">
        <v>27.5</v>
      </c>
      <c r="I7" s="252">
        <v>27.5</v>
      </c>
      <c r="J7" s="252">
        <v>35</v>
      </c>
      <c r="K7" s="252">
        <v>27.5</v>
      </c>
      <c r="L7" s="252">
        <v>47.5</v>
      </c>
      <c r="M7" s="253">
        <v>27.5</v>
      </c>
    </row>
    <row r="8" spans="1:15" ht="13">
      <c r="A8" s="250" t="s">
        <v>792</v>
      </c>
      <c r="B8" s="251"/>
      <c r="C8" s="252"/>
      <c r="D8" s="252"/>
      <c r="E8" s="252"/>
      <c r="F8" s="252"/>
      <c r="G8" s="252">
        <v>189</v>
      </c>
      <c r="H8" s="252"/>
      <c r="I8" s="252"/>
      <c r="J8" s="252"/>
      <c r="K8" s="252"/>
      <c r="L8" s="252"/>
      <c r="M8" s="253"/>
    </row>
    <row r="9" spans="1:15" ht="12" customHeight="1">
      <c r="A9" s="250" t="s">
        <v>793</v>
      </c>
      <c r="B9" s="251">
        <v>107</v>
      </c>
      <c r="C9" s="252">
        <v>107</v>
      </c>
      <c r="D9" s="252">
        <v>107</v>
      </c>
      <c r="E9" s="252">
        <v>107</v>
      </c>
      <c r="F9" s="252">
        <v>107</v>
      </c>
      <c r="G9" s="252">
        <v>107</v>
      </c>
      <c r="H9" s="252">
        <v>107</v>
      </c>
      <c r="I9" s="252">
        <v>107</v>
      </c>
      <c r="J9" s="252">
        <v>107</v>
      </c>
      <c r="K9" s="252">
        <v>107</v>
      </c>
      <c r="L9" s="252">
        <v>107</v>
      </c>
      <c r="M9" s="253">
        <v>107</v>
      </c>
    </row>
    <row r="10" spans="1:15" ht="13">
      <c r="A10" s="250" t="s">
        <v>794</v>
      </c>
      <c r="B10" s="251">
        <v>99</v>
      </c>
      <c r="C10" s="252">
        <v>99</v>
      </c>
      <c r="D10" s="252">
        <v>99</v>
      </c>
      <c r="E10" s="252">
        <v>199</v>
      </c>
      <c r="F10" s="252">
        <v>99</v>
      </c>
      <c r="G10" s="252">
        <v>199</v>
      </c>
      <c r="H10" s="252">
        <v>99</v>
      </c>
      <c r="I10" s="252">
        <v>99</v>
      </c>
      <c r="J10" s="252">
        <v>99</v>
      </c>
      <c r="K10" s="252">
        <v>199</v>
      </c>
      <c r="L10" s="252">
        <v>99</v>
      </c>
      <c r="M10" s="253">
        <v>99</v>
      </c>
    </row>
    <row r="11" spans="1:15" ht="13">
      <c r="A11" s="250" t="s">
        <v>419</v>
      </c>
      <c r="B11" s="251">
        <v>34</v>
      </c>
      <c r="C11" s="252">
        <v>34</v>
      </c>
      <c r="D11" s="252">
        <v>45</v>
      </c>
      <c r="E11" s="252">
        <v>34</v>
      </c>
      <c r="F11" s="252">
        <v>34</v>
      </c>
      <c r="G11" s="252">
        <v>45</v>
      </c>
      <c r="H11" s="252">
        <v>45</v>
      </c>
      <c r="I11" s="252">
        <v>34</v>
      </c>
      <c r="J11" s="252">
        <v>34</v>
      </c>
      <c r="K11" s="252">
        <v>34</v>
      </c>
      <c r="L11" s="252">
        <v>34</v>
      </c>
      <c r="M11" s="253">
        <v>34</v>
      </c>
      <c r="O11" s="254"/>
    </row>
    <row r="12" spans="1:15" ht="13">
      <c r="A12" s="250" t="s">
        <v>421</v>
      </c>
      <c r="B12" s="251">
        <v>69</v>
      </c>
      <c r="C12" s="252">
        <v>69</v>
      </c>
      <c r="D12" s="252">
        <v>69</v>
      </c>
      <c r="E12" s="252">
        <v>105</v>
      </c>
      <c r="F12" s="252">
        <v>69</v>
      </c>
      <c r="G12" s="252">
        <v>75</v>
      </c>
      <c r="H12" s="252">
        <v>67.89</v>
      </c>
      <c r="I12" s="252">
        <v>89</v>
      </c>
      <c r="J12" s="252">
        <v>75</v>
      </c>
      <c r="K12" s="252">
        <v>70</v>
      </c>
      <c r="L12" s="252">
        <v>70</v>
      </c>
      <c r="M12" s="253">
        <v>70</v>
      </c>
    </row>
    <row r="13" spans="1:15" ht="13">
      <c r="A13" s="250" t="s">
        <v>422</v>
      </c>
      <c r="B13" s="251"/>
      <c r="C13" s="252"/>
      <c r="D13" s="252"/>
      <c r="E13" s="252"/>
      <c r="F13" s="252"/>
      <c r="G13" s="252"/>
      <c r="H13" s="252"/>
      <c r="I13" s="252"/>
      <c r="J13" s="252">
        <v>147</v>
      </c>
      <c r="K13" s="252"/>
      <c r="L13" s="252"/>
      <c r="M13" s="253"/>
    </row>
    <row r="14" spans="1:15" ht="13">
      <c r="A14" s="250" t="s">
        <v>423</v>
      </c>
      <c r="B14" s="251">
        <v>1000</v>
      </c>
      <c r="C14" s="252">
        <v>1000</v>
      </c>
      <c r="D14" s="252">
        <v>1000</v>
      </c>
      <c r="E14" s="252">
        <v>1000</v>
      </c>
      <c r="F14" s="252">
        <v>1000</v>
      </c>
      <c r="G14" s="252">
        <v>1000</v>
      </c>
      <c r="H14" s="252">
        <v>1000</v>
      </c>
      <c r="I14" s="252">
        <v>1000</v>
      </c>
      <c r="J14" s="252">
        <v>1000</v>
      </c>
      <c r="K14" s="252">
        <v>1000</v>
      </c>
      <c r="L14" s="252">
        <v>1000</v>
      </c>
      <c r="M14" s="253">
        <v>1000</v>
      </c>
    </row>
    <row r="15" spans="1:15" ht="13.5" thickBot="1">
      <c r="A15" s="255" t="s">
        <v>424</v>
      </c>
      <c r="B15" s="256">
        <v>2000</v>
      </c>
      <c r="C15" s="257">
        <v>2000</v>
      </c>
      <c r="D15" s="257">
        <v>2000</v>
      </c>
      <c r="E15" s="257">
        <v>2000</v>
      </c>
      <c r="F15" s="257">
        <v>2000</v>
      </c>
      <c r="G15" s="257">
        <v>2000</v>
      </c>
      <c r="H15" s="257">
        <v>2400</v>
      </c>
      <c r="I15" s="257">
        <v>2400</v>
      </c>
      <c r="J15" s="257">
        <v>2400</v>
      </c>
      <c r="K15" s="257">
        <v>2400</v>
      </c>
      <c r="L15" s="257">
        <v>2400</v>
      </c>
      <c r="M15" s="258">
        <v>2400</v>
      </c>
    </row>
    <row r="18" spans="2:2">
      <c r="B18" s="254"/>
    </row>
  </sheetData>
  <mergeCells count="1">
    <mergeCell ref="A1:M1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C4D3-0C03-4079-A6E5-0F85261FCB92}">
  <sheetPr>
    <tabColor theme="3" tint="0.39997558519241921"/>
  </sheetPr>
  <dimension ref="A1:F39"/>
  <sheetViews>
    <sheetView zoomScale="120" zoomScaleNormal="120" workbookViewId="0">
      <selection activeCell="A3" sqref="A3:F39"/>
    </sheetView>
  </sheetViews>
  <sheetFormatPr defaultColWidth="9.26953125" defaultRowHeight="12.5"/>
  <cols>
    <col min="1" max="1" width="13" style="49" customWidth="1"/>
    <col min="2" max="2" width="14.7265625" style="49" bestFit="1" customWidth="1"/>
    <col min="3" max="3" width="10" style="49" bestFit="1" customWidth="1"/>
    <col min="4" max="4" width="12.81640625" style="49" customWidth="1"/>
    <col min="5" max="5" width="18.26953125" style="49" bestFit="1" customWidth="1"/>
    <col min="6" max="6" width="25.54296875" style="49" customWidth="1"/>
    <col min="7" max="16384" width="9.26953125" style="49"/>
  </cols>
  <sheetData>
    <row r="1" spans="1:6">
      <c r="A1" s="49" t="s">
        <v>771</v>
      </c>
    </row>
    <row r="3" spans="1:6">
      <c r="A3" s="244" t="s">
        <v>772</v>
      </c>
      <c r="B3" s="243" t="s">
        <v>311</v>
      </c>
      <c r="C3" s="243" t="s">
        <v>312</v>
      </c>
      <c r="D3" s="243" t="s">
        <v>310</v>
      </c>
      <c r="E3" s="243" t="s">
        <v>692</v>
      </c>
      <c r="F3" s="243" t="s">
        <v>693</v>
      </c>
    </row>
    <row r="4" spans="1:6">
      <c r="A4" s="73">
        <v>44969</v>
      </c>
      <c r="B4" s="49" t="s">
        <v>316</v>
      </c>
      <c r="C4" s="49" t="s">
        <v>773</v>
      </c>
      <c r="D4" s="49">
        <v>7008255138</v>
      </c>
    </row>
    <row r="5" spans="1:6">
      <c r="A5" s="73">
        <v>44969</v>
      </c>
      <c r="B5" s="49" t="s">
        <v>316</v>
      </c>
      <c r="C5" s="49" t="s">
        <v>773</v>
      </c>
      <c r="D5" s="49">
        <v>7007344722</v>
      </c>
    </row>
    <row r="6" spans="1:6">
      <c r="A6" s="73">
        <v>44969</v>
      </c>
      <c r="B6" s="49" t="s">
        <v>316</v>
      </c>
      <c r="C6" s="49" t="s">
        <v>773</v>
      </c>
      <c r="D6" s="49">
        <v>7007741570</v>
      </c>
    </row>
    <row r="7" spans="1:6">
      <c r="A7" s="73">
        <v>44969</v>
      </c>
      <c r="B7" s="49" t="s">
        <v>316</v>
      </c>
      <c r="C7" s="49" t="s">
        <v>773</v>
      </c>
      <c r="D7" s="49">
        <v>7007578162</v>
      </c>
    </row>
    <row r="8" spans="1:6">
      <c r="A8" s="73">
        <v>44969</v>
      </c>
      <c r="B8" s="49" t="s">
        <v>316</v>
      </c>
      <c r="C8" s="49" t="s">
        <v>773</v>
      </c>
      <c r="D8" s="49">
        <v>7007601506</v>
      </c>
    </row>
    <row r="9" spans="1:6">
      <c r="A9" s="73">
        <v>44949</v>
      </c>
      <c r="B9" s="49" t="s">
        <v>316</v>
      </c>
      <c r="C9" s="49" t="s">
        <v>773</v>
      </c>
      <c r="D9" s="49">
        <v>7007624850</v>
      </c>
    </row>
    <row r="10" spans="1:6">
      <c r="A10" s="73">
        <v>44950</v>
      </c>
      <c r="B10" s="49" t="s">
        <v>316</v>
      </c>
      <c r="C10" s="49" t="s">
        <v>773</v>
      </c>
      <c r="D10" s="49">
        <v>7007648194</v>
      </c>
    </row>
    <row r="11" spans="1:6">
      <c r="A11" s="73">
        <v>44951</v>
      </c>
      <c r="B11" s="49" t="s">
        <v>316</v>
      </c>
      <c r="C11" s="49" t="s">
        <v>773</v>
      </c>
      <c r="D11" s="49">
        <v>7007671538</v>
      </c>
    </row>
    <row r="12" spans="1:6">
      <c r="A12" s="73">
        <v>44952</v>
      </c>
      <c r="B12" s="49" t="s">
        <v>316</v>
      </c>
      <c r="C12" s="49" t="s">
        <v>773</v>
      </c>
      <c r="D12" s="49">
        <v>7007694882</v>
      </c>
    </row>
    <row r="13" spans="1:6">
      <c r="A13" s="73">
        <v>44953</v>
      </c>
      <c r="B13" s="49" t="s">
        <v>316</v>
      </c>
      <c r="C13" s="49" t="s">
        <v>773</v>
      </c>
      <c r="D13" s="49">
        <v>7007718226</v>
      </c>
    </row>
    <row r="14" spans="1:6">
      <c r="A14" s="73">
        <v>44954</v>
      </c>
      <c r="B14" s="49" t="s">
        <v>316</v>
      </c>
      <c r="C14" s="49" t="s">
        <v>773</v>
      </c>
      <c r="D14" s="49">
        <v>7007741570</v>
      </c>
    </row>
    <row r="15" spans="1:6">
      <c r="A15" s="73">
        <v>44955</v>
      </c>
      <c r="B15" s="49" t="s">
        <v>316</v>
      </c>
      <c r="C15" s="49" t="s">
        <v>773</v>
      </c>
      <c r="D15" s="49">
        <v>7007764914</v>
      </c>
    </row>
    <row r="16" spans="1:6">
      <c r="A16" s="73">
        <v>44956</v>
      </c>
      <c r="B16" s="49" t="s">
        <v>316</v>
      </c>
      <c r="C16" s="49" t="s">
        <v>773</v>
      </c>
      <c r="D16" s="49">
        <v>7007788258</v>
      </c>
    </row>
    <row r="17" spans="1:4">
      <c r="A17" s="73">
        <v>44957</v>
      </c>
      <c r="B17" s="49" t="s">
        <v>316</v>
      </c>
      <c r="C17" s="49" t="s">
        <v>773</v>
      </c>
      <c r="D17" s="49">
        <v>7007811602</v>
      </c>
    </row>
    <row r="18" spans="1:4">
      <c r="A18" s="73">
        <v>44958</v>
      </c>
      <c r="B18" s="49" t="s">
        <v>316</v>
      </c>
      <c r="C18" s="49" t="s">
        <v>773</v>
      </c>
      <c r="D18" s="49">
        <v>7007834946</v>
      </c>
    </row>
    <row r="19" spans="1:4">
      <c r="A19" s="73">
        <v>44959</v>
      </c>
      <c r="B19" s="49" t="s">
        <v>316</v>
      </c>
      <c r="C19" s="49" t="s">
        <v>773</v>
      </c>
      <c r="D19" s="49">
        <v>7007858290</v>
      </c>
    </row>
    <row r="20" spans="1:4">
      <c r="A20" s="73">
        <v>44960</v>
      </c>
      <c r="B20" s="49" t="s">
        <v>327</v>
      </c>
      <c r="C20" s="49" t="s">
        <v>774</v>
      </c>
      <c r="D20" s="49">
        <v>7007881634</v>
      </c>
    </row>
    <row r="21" spans="1:4">
      <c r="A21" s="73">
        <v>44961</v>
      </c>
      <c r="B21" s="49" t="s">
        <v>327</v>
      </c>
      <c r="C21" s="49" t="s">
        <v>774</v>
      </c>
      <c r="D21" s="49">
        <v>7007904978</v>
      </c>
    </row>
    <row r="22" spans="1:4">
      <c r="A22" s="73">
        <v>44939</v>
      </c>
      <c r="B22" s="49" t="s">
        <v>327</v>
      </c>
      <c r="C22" s="49" t="s">
        <v>774</v>
      </c>
      <c r="D22" s="49">
        <v>7007928322</v>
      </c>
    </row>
    <row r="23" spans="1:4">
      <c r="A23" s="73">
        <v>44940</v>
      </c>
      <c r="B23" s="49" t="s">
        <v>328</v>
      </c>
      <c r="C23" s="49" t="s">
        <v>775</v>
      </c>
      <c r="D23" s="49">
        <v>7007951666</v>
      </c>
    </row>
    <row r="24" spans="1:4">
      <c r="A24" s="73">
        <v>44941</v>
      </c>
      <c r="B24" s="49" t="s">
        <v>329</v>
      </c>
      <c r="C24" s="49" t="s">
        <v>776</v>
      </c>
      <c r="D24" s="49">
        <v>7007975010</v>
      </c>
    </row>
    <row r="25" spans="1:4">
      <c r="A25" s="73">
        <v>44942</v>
      </c>
      <c r="B25" s="49" t="s">
        <v>329</v>
      </c>
      <c r="C25" s="49" t="s">
        <v>776</v>
      </c>
      <c r="D25" s="49">
        <v>7007998354</v>
      </c>
    </row>
    <row r="26" spans="1:4">
      <c r="A26" s="73">
        <v>44943</v>
      </c>
      <c r="B26" s="49" t="s">
        <v>329</v>
      </c>
      <c r="C26" s="49" t="s">
        <v>776</v>
      </c>
      <c r="D26" s="49">
        <v>7008021698</v>
      </c>
    </row>
    <row r="27" spans="1:4">
      <c r="A27" s="73">
        <v>44944</v>
      </c>
      <c r="B27" s="49" t="s">
        <v>329</v>
      </c>
      <c r="C27" s="49" t="s">
        <v>776</v>
      </c>
      <c r="D27" s="49">
        <v>7008045042</v>
      </c>
    </row>
    <row r="28" spans="1:4">
      <c r="A28" s="73">
        <v>44945</v>
      </c>
      <c r="B28" s="49" t="s">
        <v>329</v>
      </c>
      <c r="C28" s="49" t="s">
        <v>776</v>
      </c>
      <c r="D28" s="49">
        <v>7008068386</v>
      </c>
    </row>
    <row r="29" spans="1:4">
      <c r="A29" s="73">
        <v>44946</v>
      </c>
      <c r="B29" s="49" t="s">
        <v>329</v>
      </c>
      <c r="C29" s="49" t="s">
        <v>776</v>
      </c>
      <c r="D29" s="49">
        <v>7008091730</v>
      </c>
    </row>
    <row r="30" spans="1:4">
      <c r="A30" s="73">
        <v>44947</v>
      </c>
      <c r="B30" s="49" t="s">
        <v>328</v>
      </c>
      <c r="C30" s="49" t="s">
        <v>775</v>
      </c>
      <c r="D30" s="49">
        <v>7008115074</v>
      </c>
    </row>
    <row r="31" spans="1:4">
      <c r="A31" s="73">
        <v>44948</v>
      </c>
      <c r="B31" s="49" t="s">
        <v>329</v>
      </c>
      <c r="C31" s="49" t="s">
        <v>777</v>
      </c>
      <c r="D31" s="49">
        <v>7008138418</v>
      </c>
    </row>
    <row r="32" spans="1:4">
      <c r="A32" s="73">
        <v>44949</v>
      </c>
      <c r="B32" s="49" t="s">
        <v>329</v>
      </c>
      <c r="C32" s="49" t="s">
        <v>777</v>
      </c>
      <c r="D32" s="49">
        <v>7008161762</v>
      </c>
    </row>
    <row r="33" spans="1:4">
      <c r="A33" s="73">
        <v>44950</v>
      </c>
      <c r="B33" s="49" t="s">
        <v>329</v>
      </c>
      <c r="C33" s="49" t="s">
        <v>777</v>
      </c>
      <c r="D33" s="49">
        <v>7008185106</v>
      </c>
    </row>
    <row r="34" spans="1:4">
      <c r="A34" s="73">
        <v>44951</v>
      </c>
      <c r="B34" s="49" t="s">
        <v>329</v>
      </c>
      <c r="C34" s="49" t="s">
        <v>777</v>
      </c>
      <c r="D34" s="49">
        <v>7008208450</v>
      </c>
    </row>
    <row r="35" spans="1:4">
      <c r="A35" s="73">
        <v>44952</v>
      </c>
      <c r="B35" s="49" t="s">
        <v>329</v>
      </c>
      <c r="C35" s="49" t="s">
        <v>777</v>
      </c>
      <c r="D35" s="49">
        <v>7008231794</v>
      </c>
    </row>
    <row r="36" spans="1:4">
      <c r="A36" s="73">
        <v>44953</v>
      </c>
      <c r="B36" s="49" t="s">
        <v>329</v>
      </c>
      <c r="C36" s="49" t="s">
        <v>777</v>
      </c>
      <c r="D36" s="49">
        <v>7008255138</v>
      </c>
    </row>
    <row r="37" spans="1:4">
      <c r="A37" s="73">
        <v>44954</v>
      </c>
      <c r="B37" s="49" t="s">
        <v>329</v>
      </c>
      <c r="C37" s="49" t="s">
        <v>777</v>
      </c>
      <c r="D37" s="49">
        <v>7008278482</v>
      </c>
    </row>
    <row r="38" spans="1:4">
      <c r="A38" s="73">
        <v>44955</v>
      </c>
      <c r="B38" s="49" t="s">
        <v>327</v>
      </c>
      <c r="C38" s="49" t="s">
        <v>774</v>
      </c>
      <c r="D38" s="49">
        <v>7008301826</v>
      </c>
    </row>
    <row r="39" spans="1:4">
      <c r="A39" s="73">
        <v>44956</v>
      </c>
      <c r="B39" s="49" t="s">
        <v>327</v>
      </c>
      <c r="C39" s="49" t="s">
        <v>774</v>
      </c>
      <c r="D39" s="49">
        <v>7008325170</v>
      </c>
    </row>
  </sheetData>
  <autoFilter ref="A3:F39" xr:uid="{FB4E2E99-9F7E-45ED-AF55-26E49AB54A42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8C3D-4EE9-4E7B-972B-CB552285307B}">
  <sheetPr>
    <tabColor theme="3" tint="0.39997558519241921"/>
  </sheetPr>
  <dimension ref="A1:C73"/>
  <sheetViews>
    <sheetView topLeftCell="A31" zoomScale="120" zoomScaleNormal="120" workbookViewId="0">
      <selection activeCell="A3" sqref="A3:C73"/>
    </sheetView>
  </sheetViews>
  <sheetFormatPr defaultColWidth="9.26953125" defaultRowHeight="12.5"/>
  <cols>
    <col min="1" max="1" width="15" style="49" bestFit="1" customWidth="1"/>
    <col min="2" max="2" width="18.26953125" style="49" bestFit="1" customWidth="1"/>
    <col min="3" max="3" width="20.1796875" style="49" bestFit="1" customWidth="1"/>
    <col min="4" max="16384" width="9.26953125" style="49"/>
  </cols>
  <sheetData>
    <row r="1" spans="1:3">
      <c r="A1" s="260" t="s">
        <v>691</v>
      </c>
      <c r="B1" s="260"/>
      <c r="C1" s="260"/>
    </row>
    <row r="3" spans="1:3">
      <c r="A3" s="243" t="s">
        <v>310</v>
      </c>
      <c r="B3" s="243" t="s">
        <v>692</v>
      </c>
      <c r="C3" s="243" t="s">
        <v>693</v>
      </c>
    </row>
    <row r="4" spans="1:3">
      <c r="A4" s="49">
        <v>7007344722</v>
      </c>
      <c r="B4" s="49" t="s">
        <v>694</v>
      </c>
      <c r="C4" s="49" t="s">
        <v>695</v>
      </c>
    </row>
    <row r="5" spans="1:3">
      <c r="A5" s="49">
        <v>7007368066</v>
      </c>
      <c r="B5" s="49" t="s">
        <v>696</v>
      </c>
      <c r="C5" s="49" t="s">
        <v>695</v>
      </c>
    </row>
    <row r="6" spans="1:3">
      <c r="A6" s="49">
        <v>7007391410</v>
      </c>
      <c r="B6" s="49" t="s">
        <v>697</v>
      </c>
      <c r="C6" s="49" t="s">
        <v>698</v>
      </c>
    </row>
    <row r="7" spans="1:3">
      <c r="A7" s="49">
        <v>7007414754</v>
      </c>
      <c r="B7" s="49" t="s">
        <v>699</v>
      </c>
      <c r="C7" s="49" t="s">
        <v>700</v>
      </c>
    </row>
    <row r="8" spans="1:3">
      <c r="A8" s="49">
        <v>7007438098</v>
      </c>
      <c r="B8" s="49" t="s">
        <v>701</v>
      </c>
      <c r="C8" s="49" t="s">
        <v>695</v>
      </c>
    </row>
    <row r="9" spans="1:3">
      <c r="A9" s="49">
        <v>7007461442</v>
      </c>
      <c r="B9" s="49" t="s">
        <v>702</v>
      </c>
      <c r="C9" s="49" t="s">
        <v>181</v>
      </c>
    </row>
    <row r="10" spans="1:3">
      <c r="A10" s="49">
        <v>7007484786</v>
      </c>
      <c r="B10" s="49" t="s">
        <v>703</v>
      </c>
      <c r="C10" s="49" t="s">
        <v>181</v>
      </c>
    </row>
    <row r="11" spans="1:3">
      <c r="A11" s="49">
        <v>7007508130</v>
      </c>
      <c r="B11" s="49" t="s">
        <v>704</v>
      </c>
      <c r="C11" s="49" t="s">
        <v>181</v>
      </c>
    </row>
    <row r="12" spans="1:3">
      <c r="A12" s="49">
        <v>7007531474</v>
      </c>
      <c r="B12" s="49" t="s">
        <v>705</v>
      </c>
      <c r="C12" s="49" t="s">
        <v>181</v>
      </c>
    </row>
    <row r="13" spans="1:3">
      <c r="A13" s="49">
        <v>7007554818</v>
      </c>
      <c r="B13" s="49" t="s">
        <v>706</v>
      </c>
      <c r="C13" s="49" t="s">
        <v>695</v>
      </c>
    </row>
    <row r="14" spans="1:3">
      <c r="A14" s="49">
        <v>7007578162</v>
      </c>
      <c r="B14" s="49" t="s">
        <v>707</v>
      </c>
      <c r="C14" s="49" t="s">
        <v>698</v>
      </c>
    </row>
    <row r="15" spans="1:3">
      <c r="A15" s="49">
        <v>7007601506</v>
      </c>
      <c r="B15" s="49" t="s">
        <v>708</v>
      </c>
      <c r="C15" s="49" t="s">
        <v>698</v>
      </c>
    </row>
    <row r="16" spans="1:3">
      <c r="A16" s="49">
        <v>7007624850</v>
      </c>
      <c r="B16" s="49" t="s">
        <v>709</v>
      </c>
      <c r="C16" s="49" t="s">
        <v>700</v>
      </c>
    </row>
    <row r="17" spans="1:3">
      <c r="A17" s="49">
        <v>7007648194</v>
      </c>
      <c r="B17" s="49" t="s">
        <v>710</v>
      </c>
      <c r="C17" s="49" t="s">
        <v>700</v>
      </c>
    </row>
    <row r="18" spans="1:3">
      <c r="A18" s="49">
        <v>7007671538</v>
      </c>
      <c r="B18" s="49" t="s">
        <v>711</v>
      </c>
      <c r="C18" s="49" t="s">
        <v>695</v>
      </c>
    </row>
    <row r="19" spans="1:3">
      <c r="A19" s="49">
        <v>7007694882</v>
      </c>
      <c r="B19" s="49" t="s">
        <v>712</v>
      </c>
      <c r="C19" s="49" t="s">
        <v>695</v>
      </c>
    </row>
    <row r="20" spans="1:3">
      <c r="A20" s="49">
        <v>7007718226</v>
      </c>
      <c r="B20" s="49" t="s">
        <v>713</v>
      </c>
      <c r="C20" s="49" t="s">
        <v>695</v>
      </c>
    </row>
    <row r="21" spans="1:3">
      <c r="A21" s="49">
        <v>7007741570</v>
      </c>
      <c r="B21" s="49" t="s">
        <v>714</v>
      </c>
      <c r="C21" s="49" t="s">
        <v>695</v>
      </c>
    </row>
    <row r="22" spans="1:3">
      <c r="A22" s="49">
        <v>7007764914</v>
      </c>
      <c r="B22" s="49" t="s">
        <v>715</v>
      </c>
      <c r="C22" s="49" t="s">
        <v>695</v>
      </c>
    </row>
    <row r="23" spans="1:3">
      <c r="A23" s="49">
        <v>7007788258</v>
      </c>
      <c r="B23" s="49" t="s">
        <v>716</v>
      </c>
      <c r="C23" s="49" t="s">
        <v>695</v>
      </c>
    </row>
    <row r="24" spans="1:3">
      <c r="A24" s="49">
        <v>7007811602</v>
      </c>
      <c r="B24" s="49" t="s">
        <v>717</v>
      </c>
      <c r="C24" s="49" t="s">
        <v>695</v>
      </c>
    </row>
    <row r="25" spans="1:3">
      <c r="A25" s="49">
        <v>7007834946</v>
      </c>
      <c r="B25" s="49" t="s">
        <v>718</v>
      </c>
      <c r="C25" s="49" t="s">
        <v>695</v>
      </c>
    </row>
    <row r="26" spans="1:3">
      <c r="A26" s="49">
        <v>7007858290</v>
      </c>
      <c r="B26" s="49" t="s">
        <v>719</v>
      </c>
      <c r="C26" s="49" t="s">
        <v>695</v>
      </c>
    </row>
    <row r="27" spans="1:3">
      <c r="A27" s="49">
        <v>7007881634</v>
      </c>
      <c r="B27" s="49" t="s">
        <v>720</v>
      </c>
      <c r="C27" s="49" t="s">
        <v>695</v>
      </c>
    </row>
    <row r="28" spans="1:3">
      <c r="A28" s="49">
        <v>7007904978</v>
      </c>
      <c r="B28" s="49" t="s">
        <v>721</v>
      </c>
      <c r="C28" s="49" t="s">
        <v>695</v>
      </c>
    </row>
    <row r="29" spans="1:3">
      <c r="A29" s="49">
        <v>7007928322</v>
      </c>
      <c r="B29" s="49" t="s">
        <v>722</v>
      </c>
      <c r="C29" s="49" t="s">
        <v>698</v>
      </c>
    </row>
    <row r="30" spans="1:3">
      <c r="A30" s="49">
        <v>7007951666</v>
      </c>
      <c r="B30" s="49" t="s">
        <v>723</v>
      </c>
      <c r="C30" s="49" t="s">
        <v>698</v>
      </c>
    </row>
    <row r="31" spans="1:3">
      <c r="A31" s="49">
        <v>7007975010</v>
      </c>
      <c r="B31" s="49" t="s">
        <v>724</v>
      </c>
      <c r="C31" s="49" t="s">
        <v>698</v>
      </c>
    </row>
    <row r="32" spans="1:3">
      <c r="A32" s="49">
        <v>7007998354</v>
      </c>
      <c r="B32" s="49" t="s">
        <v>725</v>
      </c>
      <c r="C32" s="49" t="s">
        <v>698</v>
      </c>
    </row>
    <row r="33" spans="1:3">
      <c r="A33" s="49">
        <v>7008021698</v>
      </c>
      <c r="B33" s="49" t="s">
        <v>726</v>
      </c>
      <c r="C33" s="49" t="s">
        <v>698</v>
      </c>
    </row>
    <row r="34" spans="1:3">
      <c r="A34" s="49">
        <v>7008045042</v>
      </c>
      <c r="B34" s="49" t="s">
        <v>727</v>
      </c>
      <c r="C34" s="49" t="s">
        <v>728</v>
      </c>
    </row>
    <row r="35" spans="1:3">
      <c r="A35" s="49">
        <v>7008068386</v>
      </c>
      <c r="B35" s="49" t="s">
        <v>729</v>
      </c>
      <c r="C35" s="49" t="s">
        <v>728</v>
      </c>
    </row>
    <row r="36" spans="1:3">
      <c r="A36" s="49">
        <v>7008091730</v>
      </c>
      <c r="B36" s="49" t="s">
        <v>730</v>
      </c>
      <c r="C36" s="49" t="s">
        <v>728</v>
      </c>
    </row>
    <row r="37" spans="1:3">
      <c r="A37" s="49">
        <v>7008115074</v>
      </c>
      <c r="B37" s="49" t="s">
        <v>731</v>
      </c>
      <c r="C37" s="49" t="s">
        <v>700</v>
      </c>
    </row>
    <row r="38" spans="1:3">
      <c r="A38" s="49">
        <v>7008138418</v>
      </c>
      <c r="B38" s="49" t="s">
        <v>732</v>
      </c>
      <c r="C38" s="49" t="s">
        <v>700</v>
      </c>
    </row>
    <row r="39" spans="1:3">
      <c r="A39" s="49">
        <v>7008161762</v>
      </c>
      <c r="B39" s="49" t="s">
        <v>733</v>
      </c>
      <c r="C39" s="49" t="s">
        <v>728</v>
      </c>
    </row>
    <row r="40" spans="1:3">
      <c r="A40" s="49">
        <v>7008185106</v>
      </c>
      <c r="B40" s="49" t="s">
        <v>734</v>
      </c>
      <c r="C40" s="49" t="s">
        <v>735</v>
      </c>
    </row>
    <row r="41" spans="1:3">
      <c r="A41" s="49">
        <v>7008208450</v>
      </c>
      <c r="B41" s="49" t="s">
        <v>736</v>
      </c>
      <c r="C41" s="49" t="s">
        <v>735</v>
      </c>
    </row>
    <row r="42" spans="1:3">
      <c r="A42" s="49">
        <v>7008231794</v>
      </c>
      <c r="B42" s="49" t="s">
        <v>737</v>
      </c>
      <c r="C42" s="49" t="s">
        <v>735</v>
      </c>
    </row>
    <row r="43" spans="1:3">
      <c r="A43" s="49">
        <v>7008255138</v>
      </c>
      <c r="B43" s="49" t="s">
        <v>738</v>
      </c>
      <c r="C43" s="49" t="s">
        <v>735</v>
      </c>
    </row>
    <row r="44" spans="1:3">
      <c r="A44" s="49">
        <v>7008278482</v>
      </c>
      <c r="B44" s="49" t="s">
        <v>739</v>
      </c>
      <c r="C44" s="49" t="s">
        <v>700</v>
      </c>
    </row>
    <row r="45" spans="1:3">
      <c r="A45" s="49">
        <v>7008301826</v>
      </c>
      <c r="B45" s="49" t="s">
        <v>740</v>
      </c>
      <c r="C45" s="49" t="s">
        <v>700</v>
      </c>
    </row>
    <row r="46" spans="1:3">
      <c r="A46" s="49">
        <v>7008325170</v>
      </c>
      <c r="B46" s="49" t="s">
        <v>741</v>
      </c>
      <c r="C46" s="49" t="s">
        <v>700</v>
      </c>
    </row>
    <row r="47" spans="1:3">
      <c r="A47" s="49">
        <v>7008348514</v>
      </c>
      <c r="B47" s="49" t="s">
        <v>742</v>
      </c>
      <c r="C47" s="49" t="s">
        <v>700</v>
      </c>
    </row>
    <row r="48" spans="1:3">
      <c r="A48" s="49">
        <v>7008371858</v>
      </c>
      <c r="B48" s="49" t="s">
        <v>743</v>
      </c>
      <c r="C48" s="49" t="s">
        <v>700</v>
      </c>
    </row>
    <row r="49" spans="1:3">
      <c r="A49" s="49">
        <v>7008395202</v>
      </c>
      <c r="B49" s="49" t="s">
        <v>744</v>
      </c>
      <c r="C49" s="49" t="s">
        <v>700</v>
      </c>
    </row>
    <row r="50" spans="1:3">
      <c r="A50" s="49">
        <v>7008418546</v>
      </c>
      <c r="B50" s="49" t="s">
        <v>745</v>
      </c>
      <c r="C50" s="49" t="s">
        <v>746</v>
      </c>
    </row>
    <row r="51" spans="1:3">
      <c r="A51" s="49">
        <v>7008441890</v>
      </c>
      <c r="B51" s="49" t="s">
        <v>747</v>
      </c>
      <c r="C51" s="49" t="s">
        <v>746</v>
      </c>
    </row>
    <row r="52" spans="1:3">
      <c r="A52" s="49">
        <v>7008465234</v>
      </c>
      <c r="B52" s="49" t="s">
        <v>748</v>
      </c>
      <c r="C52" s="49" t="s">
        <v>700</v>
      </c>
    </row>
    <row r="53" spans="1:3">
      <c r="A53" s="49">
        <v>7008488578</v>
      </c>
      <c r="B53" s="49" t="s">
        <v>749</v>
      </c>
      <c r="C53" s="49" t="s">
        <v>746</v>
      </c>
    </row>
    <row r="54" spans="1:3">
      <c r="A54" s="49">
        <v>7008511922</v>
      </c>
      <c r="B54" s="49" t="s">
        <v>750</v>
      </c>
      <c r="C54" s="49" t="s">
        <v>746</v>
      </c>
    </row>
    <row r="55" spans="1:3">
      <c r="A55" s="49">
        <v>7008535266</v>
      </c>
      <c r="B55" s="49" t="s">
        <v>751</v>
      </c>
      <c r="C55" s="49" t="s">
        <v>746</v>
      </c>
    </row>
    <row r="56" spans="1:3">
      <c r="A56" s="49">
        <v>7008558610</v>
      </c>
      <c r="B56" s="49" t="s">
        <v>752</v>
      </c>
      <c r="C56" s="49" t="s">
        <v>746</v>
      </c>
    </row>
    <row r="57" spans="1:3">
      <c r="A57" s="49">
        <v>7008581954</v>
      </c>
      <c r="B57" s="49" t="s">
        <v>753</v>
      </c>
      <c r="C57" s="49" t="s">
        <v>746</v>
      </c>
    </row>
    <row r="58" spans="1:3">
      <c r="A58" s="49">
        <v>7008605298</v>
      </c>
      <c r="B58" s="49" t="s">
        <v>754</v>
      </c>
      <c r="C58" s="49" t="s">
        <v>698</v>
      </c>
    </row>
    <row r="59" spans="1:3">
      <c r="A59" s="49">
        <v>7008628642</v>
      </c>
      <c r="B59" s="49" t="s">
        <v>755</v>
      </c>
      <c r="C59" s="49" t="s">
        <v>698</v>
      </c>
    </row>
    <row r="60" spans="1:3">
      <c r="A60" s="49">
        <v>7008651986</v>
      </c>
      <c r="B60" s="49" t="s">
        <v>756</v>
      </c>
      <c r="C60" s="49" t="s">
        <v>698</v>
      </c>
    </row>
    <row r="61" spans="1:3">
      <c r="A61" s="49">
        <v>7008675330</v>
      </c>
      <c r="B61" s="49" t="s">
        <v>757</v>
      </c>
      <c r="C61" s="49" t="s">
        <v>758</v>
      </c>
    </row>
    <row r="62" spans="1:3">
      <c r="A62" s="49">
        <v>7008698674</v>
      </c>
      <c r="B62" s="49" t="s">
        <v>759</v>
      </c>
      <c r="C62" s="49" t="s">
        <v>758</v>
      </c>
    </row>
    <row r="63" spans="1:3">
      <c r="A63" s="49">
        <v>7008722018</v>
      </c>
      <c r="B63" s="49" t="s">
        <v>760</v>
      </c>
      <c r="C63" s="49" t="s">
        <v>758</v>
      </c>
    </row>
    <row r="64" spans="1:3">
      <c r="A64" s="49">
        <v>7008745362</v>
      </c>
      <c r="B64" s="49" t="s">
        <v>761</v>
      </c>
      <c r="C64" s="49" t="s">
        <v>758</v>
      </c>
    </row>
    <row r="65" spans="1:3">
      <c r="A65" s="49">
        <v>7008768706</v>
      </c>
      <c r="B65" s="49" t="s">
        <v>762</v>
      </c>
      <c r="C65" s="49" t="s">
        <v>758</v>
      </c>
    </row>
    <row r="66" spans="1:3">
      <c r="A66" s="49">
        <v>7008792050</v>
      </c>
      <c r="B66" s="49" t="s">
        <v>763</v>
      </c>
      <c r="C66" s="49" t="s">
        <v>758</v>
      </c>
    </row>
    <row r="67" spans="1:3">
      <c r="A67" s="49">
        <v>7008815394</v>
      </c>
      <c r="B67" s="49" t="s">
        <v>764</v>
      </c>
      <c r="C67" s="49" t="s">
        <v>758</v>
      </c>
    </row>
    <row r="68" spans="1:3">
      <c r="A68" s="49">
        <v>7008838738</v>
      </c>
      <c r="B68" s="49" t="s">
        <v>765</v>
      </c>
      <c r="C68" s="49" t="s">
        <v>758</v>
      </c>
    </row>
    <row r="69" spans="1:3">
      <c r="A69" s="49">
        <v>7008862082</v>
      </c>
      <c r="B69" s="49" t="s">
        <v>766</v>
      </c>
      <c r="C69" s="49" t="s">
        <v>758</v>
      </c>
    </row>
    <row r="70" spans="1:3">
      <c r="A70" s="49">
        <v>7008885426</v>
      </c>
      <c r="B70" s="49" t="s">
        <v>767</v>
      </c>
      <c r="C70" s="49" t="s">
        <v>758</v>
      </c>
    </row>
    <row r="71" spans="1:3">
      <c r="A71" s="49">
        <v>7008908770</v>
      </c>
      <c r="B71" s="49" t="s">
        <v>768</v>
      </c>
      <c r="C71" s="49" t="s">
        <v>758</v>
      </c>
    </row>
    <row r="72" spans="1:3">
      <c r="A72" s="49">
        <v>7008932114</v>
      </c>
      <c r="B72" s="49" t="s">
        <v>769</v>
      </c>
      <c r="C72" s="49" t="s">
        <v>758</v>
      </c>
    </row>
    <row r="73" spans="1:3">
      <c r="A73" s="49">
        <v>7008955458</v>
      </c>
      <c r="B73" s="49" t="s">
        <v>770</v>
      </c>
      <c r="C73" s="49" t="s">
        <v>758</v>
      </c>
    </row>
  </sheetData>
  <autoFilter ref="A3:C3" xr:uid="{00000000-0001-0000-0200-000000000000}">
    <sortState xmlns:xlrd2="http://schemas.microsoft.com/office/spreadsheetml/2017/richdata2" ref="A4:C73">
      <sortCondition ref="A3"/>
    </sortState>
  </autoFilter>
  <mergeCells count="1">
    <mergeCell ref="A1:C1"/>
  </mergeCells>
  <conditionalFormatting sqref="B1:B1048576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A6DC-24EE-4D80-807F-14333A936134}">
  <sheetPr>
    <tabColor theme="6" tint="-0.249977111117893"/>
  </sheetPr>
  <dimension ref="A1:H46"/>
  <sheetViews>
    <sheetView zoomScale="120" zoomScaleNormal="120" workbookViewId="0">
      <selection activeCell="B5" sqref="B5"/>
    </sheetView>
  </sheetViews>
  <sheetFormatPr defaultColWidth="9.26953125" defaultRowHeight="12.5"/>
  <cols>
    <col min="1" max="1" width="11.26953125" style="49" bestFit="1" customWidth="1"/>
    <col min="2" max="2" width="10.7265625" style="49" bestFit="1" customWidth="1"/>
    <col min="3" max="3" width="10.54296875" style="49" bestFit="1" customWidth="1"/>
    <col min="4" max="4" width="18.26953125" style="49" bestFit="1" customWidth="1"/>
    <col min="5" max="5" width="20.453125" style="49" bestFit="1" customWidth="1"/>
    <col min="6" max="6" width="13.54296875" style="49" bestFit="1" customWidth="1"/>
    <col min="7" max="7" width="21.7265625" style="49" bestFit="1" customWidth="1"/>
    <col min="8" max="8" width="9.26953125" style="49" bestFit="1" customWidth="1"/>
    <col min="9" max="16384" width="9.26953125" style="49"/>
  </cols>
  <sheetData>
    <row r="1" spans="1:8" s="242" customFormat="1" ht="15.75" customHeight="1">
      <c r="A1" s="241" t="s">
        <v>483</v>
      </c>
      <c r="B1" s="241" t="s">
        <v>640</v>
      </c>
      <c r="C1" s="241" t="s">
        <v>434</v>
      </c>
      <c r="D1" s="241" t="s">
        <v>478</v>
      </c>
      <c r="E1" s="241" t="s">
        <v>479</v>
      </c>
      <c r="F1" s="241" t="s">
        <v>480</v>
      </c>
      <c r="G1" s="241" t="s">
        <v>481</v>
      </c>
      <c r="H1" s="241" t="s">
        <v>482</v>
      </c>
    </row>
    <row r="2" spans="1:8">
      <c r="A2" s="49">
        <v>247384405</v>
      </c>
      <c r="B2" s="49" t="s">
        <v>641</v>
      </c>
      <c r="C2" s="49" t="s">
        <v>642</v>
      </c>
    </row>
    <row r="3" spans="1:8">
      <c r="A3" s="49">
        <v>247384431</v>
      </c>
      <c r="B3" s="49" t="s">
        <v>643</v>
      </c>
      <c r="C3" s="49" t="s">
        <v>642</v>
      </c>
    </row>
    <row r="4" spans="1:8">
      <c r="A4" s="49">
        <v>247384430</v>
      </c>
      <c r="B4" s="49" t="s">
        <v>644</v>
      </c>
      <c r="C4" s="49" t="s">
        <v>642</v>
      </c>
    </row>
    <row r="5" spans="1:8">
      <c r="A5" s="49">
        <v>247384406</v>
      </c>
      <c r="B5" s="49" t="s">
        <v>645</v>
      </c>
      <c r="C5" s="49" t="s">
        <v>642</v>
      </c>
    </row>
    <row r="6" spans="1:8">
      <c r="A6" s="49">
        <v>247384414</v>
      </c>
      <c r="B6" s="49" t="s">
        <v>646</v>
      </c>
      <c r="C6" s="49" t="s">
        <v>647</v>
      </c>
    </row>
    <row r="7" spans="1:8">
      <c r="A7" s="49">
        <v>247384439</v>
      </c>
      <c r="B7" s="49" t="s">
        <v>648</v>
      </c>
      <c r="C7" s="49" t="s">
        <v>647</v>
      </c>
    </row>
    <row r="8" spans="1:8">
      <c r="A8" s="49">
        <v>247384438</v>
      </c>
      <c r="B8" s="49" t="s">
        <v>649</v>
      </c>
      <c r="C8" s="49" t="s">
        <v>650</v>
      </c>
    </row>
    <row r="9" spans="1:8">
      <c r="A9" s="49">
        <v>247384413</v>
      </c>
      <c r="B9" s="49" t="s">
        <v>651</v>
      </c>
      <c r="C9" s="49" t="s">
        <v>650</v>
      </c>
    </row>
    <row r="10" spans="1:8">
      <c r="A10" s="49">
        <v>247384411</v>
      </c>
      <c r="B10" s="49" t="s">
        <v>643</v>
      </c>
      <c r="C10" s="49" t="s">
        <v>652</v>
      </c>
    </row>
    <row r="11" spans="1:8">
      <c r="A11" s="49">
        <v>247384436</v>
      </c>
      <c r="B11" s="49" t="s">
        <v>653</v>
      </c>
      <c r="C11" s="49" t="s">
        <v>652</v>
      </c>
    </row>
    <row r="12" spans="1:8">
      <c r="A12" s="49">
        <v>247384427</v>
      </c>
      <c r="B12" s="49" t="s">
        <v>654</v>
      </c>
      <c r="C12" s="49" t="s">
        <v>655</v>
      </c>
    </row>
    <row r="13" spans="1:8">
      <c r="A13" s="49">
        <v>247384402</v>
      </c>
      <c r="B13" s="49" t="s">
        <v>656</v>
      </c>
      <c r="C13" s="49" t="s">
        <v>655</v>
      </c>
    </row>
    <row r="14" spans="1:8">
      <c r="A14" s="49">
        <v>247384428</v>
      </c>
      <c r="B14" s="49" t="s">
        <v>657</v>
      </c>
      <c r="C14" s="49" t="s">
        <v>658</v>
      </c>
    </row>
    <row r="15" spans="1:8">
      <c r="A15" s="49">
        <v>247384403</v>
      </c>
      <c r="B15" s="49" t="s">
        <v>659</v>
      </c>
      <c r="C15" s="49" t="s">
        <v>658</v>
      </c>
    </row>
    <row r="16" spans="1:8">
      <c r="A16" s="49">
        <v>247384399</v>
      </c>
      <c r="B16" s="49" t="s">
        <v>660</v>
      </c>
      <c r="C16" s="49" t="s">
        <v>661</v>
      </c>
    </row>
    <row r="17" spans="1:3">
      <c r="A17" s="49">
        <v>247384401</v>
      </c>
      <c r="B17" s="49" t="s">
        <v>34</v>
      </c>
      <c r="C17" s="49" t="s">
        <v>662</v>
      </c>
    </row>
    <row r="18" spans="1:3">
      <c r="A18" s="49">
        <v>247384404</v>
      </c>
      <c r="B18" s="49" t="s">
        <v>663</v>
      </c>
      <c r="C18" s="49" t="s">
        <v>662</v>
      </c>
    </row>
    <row r="19" spans="1:3">
      <c r="A19" s="49">
        <v>247384426</v>
      </c>
      <c r="B19" s="49" t="s">
        <v>664</v>
      </c>
      <c r="C19" s="49" t="s">
        <v>662</v>
      </c>
    </row>
    <row r="20" spans="1:3">
      <c r="A20" s="49">
        <v>247384429</v>
      </c>
      <c r="B20" s="49" t="s">
        <v>665</v>
      </c>
      <c r="C20" s="49" t="s">
        <v>662</v>
      </c>
    </row>
    <row r="21" spans="1:3">
      <c r="A21" s="49">
        <v>247384419</v>
      </c>
      <c r="B21" s="49" t="s">
        <v>660</v>
      </c>
      <c r="C21" s="49" t="s">
        <v>666</v>
      </c>
    </row>
    <row r="22" spans="1:3">
      <c r="A22" s="49">
        <v>247384412</v>
      </c>
      <c r="B22" s="49" t="s">
        <v>667</v>
      </c>
      <c r="C22" s="49" t="s">
        <v>668</v>
      </c>
    </row>
    <row r="23" spans="1:3">
      <c r="A23" s="49">
        <v>247384437</v>
      </c>
      <c r="B23" s="49" t="s">
        <v>669</v>
      </c>
      <c r="C23" s="49" t="s">
        <v>668</v>
      </c>
    </row>
    <row r="24" spans="1:3">
      <c r="A24" s="49">
        <v>247384441</v>
      </c>
      <c r="B24" s="49" t="s">
        <v>670</v>
      </c>
      <c r="C24" s="49" t="s">
        <v>671</v>
      </c>
    </row>
    <row r="25" spans="1:3">
      <c r="A25" s="49">
        <v>247384416</v>
      </c>
      <c r="B25" s="49" t="s">
        <v>653</v>
      </c>
      <c r="C25" s="49" t="s">
        <v>671</v>
      </c>
    </row>
    <row r="26" spans="1:3">
      <c r="A26" s="49">
        <v>247384432</v>
      </c>
      <c r="B26" s="49" t="s">
        <v>667</v>
      </c>
      <c r="C26" s="49" t="s">
        <v>672</v>
      </c>
    </row>
    <row r="27" spans="1:3">
      <c r="A27" s="49">
        <v>247384407</v>
      </c>
      <c r="B27" s="49" t="s">
        <v>654</v>
      </c>
      <c r="C27" s="49" t="s">
        <v>672</v>
      </c>
    </row>
    <row r="28" spans="1:3">
      <c r="A28" s="49">
        <v>247384442</v>
      </c>
      <c r="B28" s="49" t="s">
        <v>673</v>
      </c>
      <c r="C28" s="49" t="s">
        <v>674</v>
      </c>
    </row>
    <row r="29" spans="1:3">
      <c r="A29" s="49">
        <v>247384410</v>
      </c>
      <c r="B29" s="49" t="s">
        <v>675</v>
      </c>
      <c r="C29" s="49" t="s">
        <v>676</v>
      </c>
    </row>
    <row r="30" spans="1:3">
      <c r="A30" s="49">
        <v>247384435</v>
      </c>
      <c r="B30" s="49" t="s">
        <v>677</v>
      </c>
      <c r="C30" s="49" t="s">
        <v>678</v>
      </c>
    </row>
    <row r="31" spans="1:3">
      <c r="A31" s="49">
        <v>247384408</v>
      </c>
      <c r="B31" s="49" t="s">
        <v>657</v>
      </c>
      <c r="C31" s="49" t="s">
        <v>679</v>
      </c>
    </row>
    <row r="32" spans="1:3">
      <c r="A32" s="49">
        <v>247384433</v>
      </c>
      <c r="B32" s="49" t="s">
        <v>651</v>
      </c>
      <c r="C32" s="49" t="s">
        <v>679</v>
      </c>
    </row>
    <row r="33" spans="1:3">
      <c r="A33" s="49">
        <v>247384425</v>
      </c>
      <c r="B33" s="49" t="s">
        <v>641</v>
      </c>
      <c r="C33" s="49" t="s">
        <v>680</v>
      </c>
    </row>
    <row r="34" spans="1:3">
      <c r="A34" s="49">
        <v>247384400</v>
      </c>
      <c r="B34" s="49" t="s">
        <v>681</v>
      </c>
      <c r="C34" s="49" t="s">
        <v>680</v>
      </c>
    </row>
    <row r="35" spans="1:3">
      <c r="A35" s="49">
        <v>247384440</v>
      </c>
      <c r="B35" s="49" t="s">
        <v>682</v>
      </c>
      <c r="C35" s="49" t="s">
        <v>683</v>
      </c>
    </row>
    <row r="36" spans="1:3">
      <c r="A36" s="49">
        <v>247384415</v>
      </c>
      <c r="B36" s="49" t="s">
        <v>677</v>
      </c>
      <c r="C36" s="49" t="s">
        <v>683</v>
      </c>
    </row>
    <row r="37" spans="1:3">
      <c r="A37" s="49">
        <v>247384434</v>
      </c>
      <c r="B37" s="49" t="s">
        <v>646</v>
      </c>
      <c r="C37" s="49" t="s">
        <v>684</v>
      </c>
    </row>
    <row r="38" spans="1:3">
      <c r="A38" s="49">
        <v>247384409</v>
      </c>
      <c r="B38" s="49" t="s">
        <v>665</v>
      </c>
      <c r="C38" s="49" t="s">
        <v>684</v>
      </c>
    </row>
    <row r="39" spans="1:3">
      <c r="A39" s="49">
        <v>247384417</v>
      </c>
      <c r="B39" s="49" t="s">
        <v>685</v>
      </c>
      <c r="C39" s="49" t="s">
        <v>686</v>
      </c>
    </row>
    <row r="40" spans="1:3">
      <c r="A40" s="49">
        <v>247384422</v>
      </c>
      <c r="B40" s="49" t="s">
        <v>687</v>
      </c>
      <c r="C40" s="49" t="s">
        <v>688</v>
      </c>
    </row>
    <row r="41" spans="1:3">
      <c r="A41" s="49">
        <v>247384418</v>
      </c>
      <c r="B41" s="49" t="s">
        <v>670</v>
      </c>
      <c r="C41" s="49" t="s">
        <v>688</v>
      </c>
    </row>
    <row r="42" spans="1:3">
      <c r="A42" s="49">
        <v>247384397</v>
      </c>
      <c r="B42" s="49" t="s">
        <v>685</v>
      </c>
      <c r="C42" s="49" t="s">
        <v>688</v>
      </c>
    </row>
    <row r="43" spans="1:3">
      <c r="A43" s="49">
        <v>247384398</v>
      </c>
      <c r="B43" s="49" t="s">
        <v>670</v>
      </c>
      <c r="C43" s="49" t="s">
        <v>689</v>
      </c>
    </row>
    <row r="44" spans="1:3">
      <c r="A44" s="49">
        <v>247384423</v>
      </c>
      <c r="B44" s="49" t="s">
        <v>659</v>
      </c>
      <c r="C44" s="49" t="s">
        <v>689</v>
      </c>
    </row>
    <row r="45" spans="1:3">
      <c r="A45" s="49">
        <v>247384421</v>
      </c>
      <c r="B45" s="49" t="s">
        <v>34</v>
      </c>
      <c r="C45" s="49" t="s">
        <v>48</v>
      </c>
    </row>
    <row r="46" spans="1:3">
      <c r="A46" s="49">
        <v>247384420</v>
      </c>
      <c r="B46" s="49" t="s">
        <v>681</v>
      </c>
      <c r="C46" s="49" t="s">
        <v>690</v>
      </c>
    </row>
  </sheetData>
  <autoFilter ref="A1:H46" xr:uid="{00000000-0001-0000-0500-000000000000}">
    <sortState xmlns:xlrd2="http://schemas.microsoft.com/office/spreadsheetml/2017/richdata2" ref="A2:H46">
      <sortCondition ref="C1:C46"/>
    </sortState>
  </autoFilter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34EC-10F3-4E0E-9FDE-A26F04498EE5}">
  <sheetPr>
    <tabColor theme="6" tint="-0.249977111117893"/>
  </sheetPr>
  <dimension ref="A1:J46"/>
  <sheetViews>
    <sheetView zoomScale="120" zoomScaleNormal="120" workbookViewId="0">
      <selection activeCell="B17" sqref="B17"/>
    </sheetView>
  </sheetViews>
  <sheetFormatPr defaultColWidth="16.7265625" defaultRowHeight="14.5"/>
  <cols>
    <col min="1" max="1" width="18.453125" style="240" bestFit="1" customWidth="1"/>
    <col min="2" max="2" width="20.7265625" style="49" bestFit="1" customWidth="1"/>
    <col min="3" max="3" width="14.26953125" style="49" bestFit="1" customWidth="1"/>
    <col min="4" max="4" width="21.26953125" style="49" bestFit="1" customWidth="1"/>
    <col min="5" max="5" width="9.26953125" style="49" bestFit="1" customWidth="1"/>
    <col min="6" max="6" width="10.7265625" style="49" bestFit="1" customWidth="1"/>
    <col min="7" max="7" width="13.7265625" style="49" bestFit="1" customWidth="1"/>
    <col min="8" max="8" width="6.81640625" style="49" bestFit="1" customWidth="1"/>
    <col min="9" max="9" width="10.54296875" style="49" bestFit="1" customWidth="1"/>
    <col min="10" max="10" width="14.26953125" style="68" bestFit="1" customWidth="1"/>
    <col min="11" max="16384" width="16.7265625" style="49"/>
  </cols>
  <sheetData>
    <row r="1" spans="1:10" s="239" customFormat="1" ht="13">
      <c r="A1" s="236" t="s">
        <v>478</v>
      </c>
      <c r="B1" s="237" t="s">
        <v>479</v>
      </c>
      <c r="C1" s="237" t="s">
        <v>480</v>
      </c>
      <c r="D1" s="237" t="s">
        <v>481</v>
      </c>
      <c r="E1" s="237" t="s">
        <v>482</v>
      </c>
      <c r="F1" s="237" t="s">
        <v>483</v>
      </c>
      <c r="G1" s="237" t="s">
        <v>484</v>
      </c>
      <c r="H1" s="237" t="s">
        <v>485</v>
      </c>
      <c r="I1" s="237" t="s">
        <v>486</v>
      </c>
      <c r="J1" s="238" t="s">
        <v>487</v>
      </c>
    </row>
    <row r="2" spans="1:10">
      <c r="A2" s="240" t="s">
        <v>488</v>
      </c>
      <c r="B2" s="49" t="s">
        <v>489</v>
      </c>
      <c r="C2" s="49" t="s">
        <v>490</v>
      </c>
      <c r="D2" s="49" t="s">
        <v>491</v>
      </c>
      <c r="E2" s="49" t="s">
        <v>492</v>
      </c>
      <c r="F2" s="49">
        <v>247384425</v>
      </c>
      <c r="G2" s="49" t="s">
        <v>493</v>
      </c>
      <c r="H2" s="49" t="s">
        <v>494</v>
      </c>
      <c r="I2" s="73">
        <v>44919</v>
      </c>
      <c r="J2" s="68">
        <v>758475</v>
      </c>
    </row>
    <row r="3" spans="1:10">
      <c r="A3" s="240" t="s">
        <v>495</v>
      </c>
      <c r="B3" s="49" t="s">
        <v>496</v>
      </c>
      <c r="C3" s="49" t="s">
        <v>497</v>
      </c>
      <c r="D3" s="49" t="s">
        <v>498</v>
      </c>
      <c r="E3" s="49" t="s">
        <v>499</v>
      </c>
      <c r="F3" s="49">
        <v>247384426</v>
      </c>
      <c r="G3" s="49" t="s">
        <v>493</v>
      </c>
      <c r="H3" s="49" t="s">
        <v>500</v>
      </c>
      <c r="I3" s="73">
        <v>44920</v>
      </c>
      <c r="J3" s="68">
        <v>1052713</v>
      </c>
    </row>
    <row r="4" spans="1:10">
      <c r="A4" s="240" t="s">
        <v>501</v>
      </c>
      <c r="B4" s="49" t="s">
        <v>502</v>
      </c>
      <c r="C4" s="49" t="s">
        <v>503</v>
      </c>
      <c r="D4" s="49" t="s">
        <v>504</v>
      </c>
      <c r="E4" s="49" t="s">
        <v>505</v>
      </c>
      <c r="F4" s="49">
        <v>247384427</v>
      </c>
      <c r="G4" s="49" t="s">
        <v>493</v>
      </c>
      <c r="H4" s="49" t="s">
        <v>506</v>
      </c>
      <c r="I4" s="73">
        <v>44921</v>
      </c>
      <c r="J4" s="68">
        <v>1346951</v>
      </c>
    </row>
    <row r="5" spans="1:10">
      <c r="A5" s="240" t="s">
        <v>507</v>
      </c>
      <c r="B5" s="49" t="s">
        <v>508</v>
      </c>
      <c r="C5" s="49" t="s">
        <v>509</v>
      </c>
      <c r="D5" s="49" t="s">
        <v>510</v>
      </c>
      <c r="E5" s="49">
        <v>21324</v>
      </c>
      <c r="F5" s="49">
        <v>247384428</v>
      </c>
      <c r="G5" s="49" t="s">
        <v>493</v>
      </c>
      <c r="H5" s="49" t="s">
        <v>511</v>
      </c>
      <c r="I5" s="73">
        <v>44922</v>
      </c>
      <c r="J5" s="68">
        <v>1641189</v>
      </c>
    </row>
    <row r="6" spans="1:10">
      <c r="A6" s="240" t="s">
        <v>512</v>
      </c>
      <c r="B6" s="49" t="s">
        <v>513</v>
      </c>
      <c r="C6" s="49" t="s">
        <v>514</v>
      </c>
      <c r="D6" s="49" t="s">
        <v>515</v>
      </c>
      <c r="E6" s="49">
        <v>343455</v>
      </c>
      <c r="F6" s="49">
        <v>247384410</v>
      </c>
      <c r="G6" s="49" t="s">
        <v>493</v>
      </c>
      <c r="H6" s="49" t="s">
        <v>516</v>
      </c>
      <c r="I6" s="73">
        <v>44923</v>
      </c>
      <c r="J6" s="68">
        <v>984744</v>
      </c>
    </row>
    <row r="7" spans="1:10">
      <c r="A7" s="240" t="s">
        <v>517</v>
      </c>
      <c r="B7" s="49" t="s">
        <v>518</v>
      </c>
      <c r="C7" s="49" t="s">
        <v>519</v>
      </c>
      <c r="D7" s="49" t="s">
        <v>520</v>
      </c>
      <c r="E7" s="49">
        <v>344</v>
      </c>
      <c r="F7" s="49">
        <v>247384411</v>
      </c>
      <c r="G7" s="49" t="s">
        <v>493</v>
      </c>
      <c r="H7" s="49" t="s">
        <v>521</v>
      </c>
      <c r="I7" s="73">
        <v>44924</v>
      </c>
      <c r="J7" s="68">
        <v>328299</v>
      </c>
    </row>
    <row r="8" spans="1:10">
      <c r="A8" s="240" t="s">
        <v>522</v>
      </c>
      <c r="B8" s="49" t="s">
        <v>523</v>
      </c>
      <c r="C8" s="49" t="s">
        <v>524</v>
      </c>
      <c r="D8" s="49" t="s">
        <v>525</v>
      </c>
      <c r="E8" s="49">
        <v>34</v>
      </c>
      <c r="F8" s="49">
        <v>247384412</v>
      </c>
      <c r="G8" s="49" t="s">
        <v>493</v>
      </c>
      <c r="H8" s="49" t="s">
        <v>526</v>
      </c>
      <c r="I8" s="73">
        <v>44925</v>
      </c>
      <c r="J8" s="68">
        <v>656556</v>
      </c>
    </row>
    <row r="9" spans="1:10">
      <c r="A9" s="240" t="s">
        <v>527</v>
      </c>
      <c r="B9" s="49" t="s">
        <v>528</v>
      </c>
      <c r="C9" s="49" t="s">
        <v>529</v>
      </c>
      <c r="D9" s="49" t="s">
        <v>530</v>
      </c>
      <c r="E9" s="49">
        <v>343</v>
      </c>
      <c r="F9" s="49">
        <v>247384413</v>
      </c>
      <c r="G9" s="49" t="s">
        <v>493</v>
      </c>
      <c r="H9" s="49" t="s">
        <v>531</v>
      </c>
      <c r="I9" s="73">
        <v>44926</v>
      </c>
      <c r="J9" s="68">
        <v>984813</v>
      </c>
    </row>
    <row r="10" spans="1:10">
      <c r="A10" s="240" t="s">
        <v>532</v>
      </c>
      <c r="B10" s="49" t="s">
        <v>533</v>
      </c>
      <c r="C10" s="49" t="s">
        <v>534</v>
      </c>
      <c r="D10" s="49" t="s">
        <v>535</v>
      </c>
      <c r="E10" s="49" t="s">
        <v>536</v>
      </c>
      <c r="F10" s="49">
        <v>247384414</v>
      </c>
      <c r="G10" s="49" t="s">
        <v>493</v>
      </c>
      <c r="H10" s="49" t="s">
        <v>537</v>
      </c>
      <c r="I10" s="73">
        <v>44562</v>
      </c>
      <c r="J10" s="68">
        <v>1313070</v>
      </c>
    </row>
    <row r="11" spans="1:10">
      <c r="A11" s="240">
        <v>56</v>
      </c>
      <c r="B11" s="49" t="s">
        <v>538</v>
      </c>
      <c r="C11" s="49" t="s">
        <v>539</v>
      </c>
      <c r="D11" s="49" t="s">
        <v>540</v>
      </c>
      <c r="E11" s="49" t="s">
        <v>541</v>
      </c>
      <c r="F11" s="49">
        <v>247384415</v>
      </c>
      <c r="G11" s="49" t="s">
        <v>493</v>
      </c>
      <c r="H11" s="49" t="s">
        <v>184</v>
      </c>
      <c r="I11" s="73">
        <v>44563</v>
      </c>
      <c r="J11" s="68">
        <v>1641327</v>
      </c>
    </row>
    <row r="12" spans="1:10">
      <c r="A12" s="240">
        <v>344</v>
      </c>
      <c r="B12" s="49" t="s">
        <v>542</v>
      </c>
      <c r="C12" s="49" t="s">
        <v>543</v>
      </c>
      <c r="D12" s="49" t="s">
        <v>544</v>
      </c>
      <c r="E12" s="49" t="s">
        <v>545</v>
      </c>
      <c r="F12" s="49">
        <v>247384416</v>
      </c>
      <c r="G12" s="49" t="s">
        <v>493</v>
      </c>
      <c r="H12" s="49" t="s">
        <v>494</v>
      </c>
      <c r="I12" s="73">
        <v>44564</v>
      </c>
      <c r="J12" s="68">
        <v>1969584</v>
      </c>
    </row>
    <row r="13" spans="1:10">
      <c r="A13" s="240" t="s">
        <v>546</v>
      </c>
      <c r="B13" s="49" t="s">
        <v>547</v>
      </c>
      <c r="C13" s="49" t="s">
        <v>548</v>
      </c>
      <c r="D13" s="49" t="s">
        <v>549</v>
      </c>
      <c r="E13" s="49" t="s">
        <v>550</v>
      </c>
      <c r="F13" s="49">
        <v>247384417</v>
      </c>
      <c r="G13" s="49" t="s">
        <v>493</v>
      </c>
      <c r="H13" s="49" t="s">
        <v>500</v>
      </c>
      <c r="I13" s="73">
        <v>44565</v>
      </c>
      <c r="J13" s="68">
        <v>2297841</v>
      </c>
    </row>
    <row r="14" spans="1:10">
      <c r="A14" s="240" t="s">
        <v>551</v>
      </c>
      <c r="B14" s="49" t="s">
        <v>552</v>
      </c>
      <c r="C14" s="49" t="s">
        <v>553</v>
      </c>
      <c r="D14" s="49" t="s">
        <v>554</v>
      </c>
      <c r="E14" s="49" t="s">
        <v>555</v>
      </c>
      <c r="F14" s="49">
        <v>247384402</v>
      </c>
      <c r="G14" s="49" t="s">
        <v>556</v>
      </c>
      <c r="H14" s="49" t="s">
        <v>506</v>
      </c>
      <c r="I14" s="73">
        <v>44566</v>
      </c>
      <c r="J14" s="68">
        <v>2626098</v>
      </c>
    </row>
    <row r="15" spans="1:10">
      <c r="A15" s="240">
        <v>98</v>
      </c>
      <c r="B15" s="49" t="s">
        <v>557</v>
      </c>
      <c r="C15" s="49" t="s">
        <v>558</v>
      </c>
      <c r="D15" s="49" t="s">
        <v>559</v>
      </c>
      <c r="E15" s="49" t="s">
        <v>560</v>
      </c>
      <c r="F15" s="49">
        <v>247384403</v>
      </c>
      <c r="G15" s="49" t="s">
        <v>556</v>
      </c>
      <c r="H15" s="49" t="s">
        <v>511</v>
      </c>
      <c r="I15" s="73">
        <v>44567</v>
      </c>
      <c r="J15" s="68">
        <v>2954355</v>
      </c>
    </row>
    <row r="16" spans="1:10">
      <c r="A16" s="240" t="s">
        <v>561</v>
      </c>
      <c r="B16" s="49" t="s">
        <v>562</v>
      </c>
      <c r="C16" s="49" t="s">
        <v>563</v>
      </c>
      <c r="D16" s="49" t="s">
        <v>564</v>
      </c>
      <c r="E16" s="49" t="s">
        <v>560</v>
      </c>
      <c r="F16" s="49">
        <v>247384404</v>
      </c>
      <c r="G16" s="49" t="s">
        <v>556</v>
      </c>
      <c r="H16" s="49" t="s">
        <v>516</v>
      </c>
      <c r="I16" s="73">
        <v>44568</v>
      </c>
      <c r="J16" s="68">
        <v>3282612</v>
      </c>
    </row>
    <row r="17" spans="1:10">
      <c r="A17" s="240" t="s">
        <v>565</v>
      </c>
      <c r="B17" s="49" t="s">
        <v>566</v>
      </c>
      <c r="C17" s="49" t="s">
        <v>567</v>
      </c>
      <c r="D17" s="49" t="s">
        <v>568</v>
      </c>
      <c r="E17" s="49" t="s">
        <v>569</v>
      </c>
      <c r="F17" s="49">
        <v>247384405</v>
      </c>
      <c r="G17" s="49" t="s">
        <v>556</v>
      </c>
      <c r="H17" s="49" t="s">
        <v>521</v>
      </c>
      <c r="I17" s="73">
        <v>44569</v>
      </c>
      <c r="J17" s="68">
        <v>3610869</v>
      </c>
    </row>
    <row r="18" spans="1:10">
      <c r="A18" s="240">
        <v>45</v>
      </c>
      <c r="B18" s="49" t="s">
        <v>570</v>
      </c>
      <c r="C18" s="49" t="s">
        <v>571</v>
      </c>
      <c r="D18" s="49" t="s">
        <v>572</v>
      </c>
      <c r="E18" s="49" t="s">
        <v>573</v>
      </c>
      <c r="F18" s="49">
        <v>247384406</v>
      </c>
      <c r="G18" s="49" t="s">
        <v>556</v>
      </c>
      <c r="H18" s="49" t="s">
        <v>526</v>
      </c>
      <c r="I18" s="73">
        <v>44570</v>
      </c>
      <c r="J18" s="68">
        <v>3939126</v>
      </c>
    </row>
    <row r="19" spans="1:10">
      <c r="A19" s="240">
        <v>8</v>
      </c>
      <c r="B19" s="49" t="s">
        <v>574</v>
      </c>
      <c r="C19" s="49" t="s">
        <v>575</v>
      </c>
      <c r="D19" s="49" t="s">
        <v>576</v>
      </c>
      <c r="E19" s="49">
        <v>99</v>
      </c>
      <c r="F19" s="49">
        <v>247384407</v>
      </c>
      <c r="G19" s="49" t="s">
        <v>556</v>
      </c>
      <c r="H19" s="49" t="s">
        <v>531</v>
      </c>
      <c r="I19" s="73">
        <v>44571</v>
      </c>
      <c r="J19" s="68">
        <v>4267383</v>
      </c>
    </row>
    <row r="20" spans="1:10">
      <c r="A20" s="240" t="s">
        <v>522</v>
      </c>
      <c r="B20" s="49" t="s">
        <v>523</v>
      </c>
      <c r="C20" s="49" t="s">
        <v>577</v>
      </c>
      <c r="D20" s="49" t="s">
        <v>578</v>
      </c>
      <c r="E20" s="49">
        <v>7343764</v>
      </c>
      <c r="F20" s="49">
        <v>247384408</v>
      </c>
      <c r="G20" s="49" t="s">
        <v>556</v>
      </c>
      <c r="H20" s="49" t="s">
        <v>537</v>
      </c>
      <c r="I20" s="73">
        <v>44572</v>
      </c>
      <c r="J20" s="68">
        <v>4595640</v>
      </c>
    </row>
    <row r="21" spans="1:10">
      <c r="A21" s="240" t="s">
        <v>527</v>
      </c>
      <c r="B21" s="49" t="s">
        <v>528</v>
      </c>
      <c r="C21" s="49" t="s">
        <v>579</v>
      </c>
      <c r="D21" s="49" t="s">
        <v>580</v>
      </c>
      <c r="E21" s="49" t="s">
        <v>581</v>
      </c>
      <c r="F21" s="49">
        <v>247384409</v>
      </c>
      <c r="G21" s="49" t="s">
        <v>556</v>
      </c>
      <c r="H21" s="49" t="s">
        <v>184</v>
      </c>
      <c r="I21" s="73">
        <v>44573</v>
      </c>
      <c r="J21" s="68">
        <v>4923897</v>
      </c>
    </row>
    <row r="22" spans="1:10">
      <c r="A22" s="240" t="s">
        <v>532</v>
      </c>
      <c r="B22" s="49" t="s">
        <v>533</v>
      </c>
      <c r="C22" s="49" t="s">
        <v>582</v>
      </c>
      <c r="D22" s="49" t="s">
        <v>583</v>
      </c>
      <c r="E22" s="49" t="s">
        <v>584</v>
      </c>
      <c r="F22" s="49">
        <v>247384418</v>
      </c>
      <c r="G22" s="49" t="s">
        <v>556</v>
      </c>
      <c r="H22" s="49" t="s">
        <v>494</v>
      </c>
      <c r="I22" s="73">
        <v>44574</v>
      </c>
      <c r="J22" s="68">
        <v>5252154</v>
      </c>
    </row>
    <row r="23" spans="1:10">
      <c r="A23" s="240" t="s">
        <v>522</v>
      </c>
      <c r="B23" s="49" t="s">
        <v>523</v>
      </c>
      <c r="C23" s="49" t="s">
        <v>585</v>
      </c>
      <c r="D23" s="49" t="s">
        <v>586</v>
      </c>
      <c r="E23" s="49" t="s">
        <v>587</v>
      </c>
      <c r="F23" s="49">
        <v>247384419</v>
      </c>
      <c r="G23" s="49" t="s">
        <v>556</v>
      </c>
      <c r="H23" s="49" t="s">
        <v>500</v>
      </c>
      <c r="I23" s="73">
        <v>44575</v>
      </c>
      <c r="J23" s="68">
        <v>5580411</v>
      </c>
    </row>
    <row r="24" spans="1:10">
      <c r="A24" s="240" t="s">
        <v>527</v>
      </c>
      <c r="B24" s="49" t="s">
        <v>528</v>
      </c>
      <c r="C24" s="49" t="s">
        <v>588</v>
      </c>
      <c r="D24" s="49" t="s">
        <v>589</v>
      </c>
      <c r="E24" s="49">
        <v>620</v>
      </c>
      <c r="F24" s="49">
        <v>247384420</v>
      </c>
      <c r="G24" s="49" t="s">
        <v>556</v>
      </c>
      <c r="H24" s="49" t="s">
        <v>506</v>
      </c>
      <c r="I24" s="73">
        <v>44576</v>
      </c>
      <c r="J24" s="68">
        <v>5908668</v>
      </c>
    </row>
    <row r="25" spans="1:10">
      <c r="A25" s="240" t="s">
        <v>532</v>
      </c>
      <c r="B25" s="49" t="s">
        <v>533</v>
      </c>
      <c r="C25" s="49" t="s">
        <v>590</v>
      </c>
      <c r="D25" s="49" t="s">
        <v>591</v>
      </c>
      <c r="E25" s="49">
        <v>620</v>
      </c>
      <c r="F25" s="49">
        <v>247384421</v>
      </c>
      <c r="G25" s="49" t="s">
        <v>556</v>
      </c>
      <c r="H25" s="49" t="s">
        <v>511</v>
      </c>
      <c r="I25" s="73">
        <v>44577</v>
      </c>
      <c r="J25" s="68">
        <v>6236925</v>
      </c>
    </row>
    <row r="26" spans="1:10">
      <c r="A26" s="240">
        <v>56</v>
      </c>
      <c r="B26" s="49" t="s">
        <v>538</v>
      </c>
      <c r="C26" s="49" t="s">
        <v>592</v>
      </c>
      <c r="D26" s="49" t="s">
        <v>593</v>
      </c>
      <c r="E26" s="49" t="s">
        <v>594</v>
      </c>
      <c r="F26" s="49">
        <v>247384422</v>
      </c>
      <c r="G26" s="49" t="s">
        <v>556</v>
      </c>
      <c r="H26" s="49" t="s">
        <v>516</v>
      </c>
      <c r="I26" s="73">
        <v>44578</v>
      </c>
      <c r="J26" s="68">
        <v>5580411</v>
      </c>
    </row>
    <row r="27" spans="1:10">
      <c r="A27" s="240">
        <v>344</v>
      </c>
      <c r="B27" s="49" t="s">
        <v>542</v>
      </c>
      <c r="C27" s="49" t="s">
        <v>595</v>
      </c>
      <c r="D27" s="49" t="s">
        <v>596</v>
      </c>
      <c r="E27" s="49" t="s">
        <v>597</v>
      </c>
      <c r="F27" s="49">
        <v>247384423</v>
      </c>
      <c r="G27" s="49" t="s">
        <v>556</v>
      </c>
      <c r="H27" s="49" t="s">
        <v>521</v>
      </c>
      <c r="I27" s="73">
        <v>44579</v>
      </c>
      <c r="J27" s="68">
        <v>4923897</v>
      </c>
    </row>
    <row r="28" spans="1:10">
      <c r="A28" s="240" t="s">
        <v>546</v>
      </c>
      <c r="B28" s="49" t="s">
        <v>547</v>
      </c>
      <c r="C28" s="49" t="s">
        <v>598</v>
      </c>
      <c r="D28" s="49" t="s">
        <v>599</v>
      </c>
      <c r="E28" s="49" t="s">
        <v>600</v>
      </c>
      <c r="F28" s="49">
        <v>247384397</v>
      </c>
      <c r="G28" s="49" t="s">
        <v>556</v>
      </c>
      <c r="H28" s="49" t="s">
        <v>526</v>
      </c>
      <c r="I28" s="73">
        <v>44580</v>
      </c>
      <c r="J28" s="68">
        <v>4267383</v>
      </c>
    </row>
    <row r="29" spans="1:10">
      <c r="A29" s="240" t="s">
        <v>551</v>
      </c>
      <c r="B29" s="49" t="s">
        <v>552</v>
      </c>
      <c r="C29" s="49" t="s">
        <v>601</v>
      </c>
      <c r="D29" s="49" t="s">
        <v>602</v>
      </c>
      <c r="E29" s="49" t="s">
        <v>505</v>
      </c>
      <c r="F29" s="49">
        <v>247384398</v>
      </c>
      <c r="G29" s="49" t="s">
        <v>556</v>
      </c>
      <c r="H29" s="49" t="s">
        <v>531</v>
      </c>
      <c r="I29" s="73">
        <v>44581</v>
      </c>
      <c r="J29" s="68">
        <v>3610869</v>
      </c>
    </row>
    <row r="30" spans="1:10">
      <c r="A30" s="240" t="s">
        <v>488</v>
      </c>
      <c r="B30" s="49" t="s">
        <v>489</v>
      </c>
      <c r="C30" s="49" t="s">
        <v>603</v>
      </c>
      <c r="D30" s="49" t="s">
        <v>604</v>
      </c>
      <c r="E30" s="49">
        <v>21324</v>
      </c>
      <c r="F30" s="49">
        <v>247384399</v>
      </c>
      <c r="G30" s="49" t="s">
        <v>605</v>
      </c>
      <c r="H30" s="49" t="s">
        <v>537</v>
      </c>
      <c r="I30" s="73">
        <v>44582</v>
      </c>
      <c r="J30" s="68">
        <v>2954355</v>
      </c>
    </row>
    <row r="31" spans="1:10">
      <c r="A31" s="240" t="s">
        <v>495</v>
      </c>
      <c r="B31" s="49" t="s">
        <v>496</v>
      </c>
      <c r="C31" s="49" t="s">
        <v>606</v>
      </c>
      <c r="D31" s="49" t="s">
        <v>607</v>
      </c>
      <c r="E31" s="49">
        <v>343455</v>
      </c>
      <c r="F31" s="49">
        <v>247384400</v>
      </c>
      <c r="G31" s="49" t="s">
        <v>605</v>
      </c>
      <c r="H31" s="49" t="s">
        <v>184</v>
      </c>
      <c r="I31" s="73">
        <v>44583</v>
      </c>
      <c r="J31" s="68">
        <v>2297841</v>
      </c>
    </row>
    <row r="32" spans="1:10">
      <c r="A32" s="240" t="s">
        <v>501</v>
      </c>
      <c r="B32" s="49" t="s">
        <v>502</v>
      </c>
      <c r="C32" s="49" t="s">
        <v>608</v>
      </c>
      <c r="D32" s="49" t="s">
        <v>609</v>
      </c>
      <c r="E32" s="49">
        <v>344</v>
      </c>
      <c r="F32" s="49">
        <v>247384401</v>
      </c>
      <c r="G32" s="49" t="s">
        <v>605</v>
      </c>
      <c r="H32" s="49" t="s">
        <v>494</v>
      </c>
      <c r="I32" s="73">
        <v>44584</v>
      </c>
      <c r="J32" s="68">
        <v>1641327</v>
      </c>
    </row>
    <row r="33" spans="1:10">
      <c r="A33" s="240" t="s">
        <v>507</v>
      </c>
      <c r="B33" s="49" t="s">
        <v>508</v>
      </c>
      <c r="C33" s="49" t="s">
        <v>610</v>
      </c>
      <c r="D33" s="49" t="s">
        <v>611</v>
      </c>
      <c r="E33" s="49">
        <v>34</v>
      </c>
      <c r="F33" s="49">
        <v>247384429</v>
      </c>
      <c r="G33" s="49" t="s">
        <v>605</v>
      </c>
      <c r="H33" s="49" t="s">
        <v>500</v>
      </c>
      <c r="I33" s="73">
        <v>44585</v>
      </c>
      <c r="J33" s="68">
        <v>984813</v>
      </c>
    </row>
    <row r="34" spans="1:10">
      <c r="A34" s="240" t="s">
        <v>512</v>
      </c>
      <c r="B34" s="49" t="s">
        <v>513</v>
      </c>
      <c r="C34" s="49" t="s">
        <v>612</v>
      </c>
      <c r="D34" s="49" t="s">
        <v>613</v>
      </c>
      <c r="E34" s="49">
        <v>343</v>
      </c>
      <c r="F34" s="49">
        <v>247384430</v>
      </c>
      <c r="G34" s="49" t="s">
        <v>605</v>
      </c>
      <c r="H34" s="49" t="s">
        <v>506</v>
      </c>
      <c r="I34" s="73">
        <v>44586</v>
      </c>
      <c r="J34" s="68">
        <v>1252154</v>
      </c>
    </row>
    <row r="35" spans="1:10">
      <c r="A35" s="240" t="s">
        <v>517</v>
      </c>
      <c r="B35" s="49" t="s">
        <v>518</v>
      </c>
      <c r="C35" s="49" t="s">
        <v>614</v>
      </c>
      <c r="D35" s="49" t="s">
        <v>614</v>
      </c>
      <c r="E35" s="49" t="s">
        <v>536</v>
      </c>
      <c r="F35" s="49">
        <v>247384431</v>
      </c>
      <c r="G35" s="49" t="s">
        <v>605</v>
      </c>
      <c r="H35" s="49" t="s">
        <v>511</v>
      </c>
      <c r="I35" s="73">
        <v>44587</v>
      </c>
      <c r="J35" s="68">
        <v>1519495</v>
      </c>
    </row>
    <row r="36" spans="1:10">
      <c r="A36" s="240" t="s">
        <v>522</v>
      </c>
      <c r="B36" s="49" t="s">
        <v>523</v>
      </c>
      <c r="C36" s="49" t="s">
        <v>615</v>
      </c>
      <c r="D36" s="49" t="s">
        <v>616</v>
      </c>
      <c r="E36" s="49" t="s">
        <v>541</v>
      </c>
      <c r="F36" s="49">
        <v>247384432</v>
      </c>
      <c r="G36" s="49" t="s">
        <v>605</v>
      </c>
      <c r="H36" s="49" t="s">
        <v>516</v>
      </c>
      <c r="I36" s="73">
        <v>44588</v>
      </c>
      <c r="J36" s="68">
        <v>1786836</v>
      </c>
    </row>
    <row r="37" spans="1:10">
      <c r="A37" s="240" t="s">
        <v>527</v>
      </c>
      <c r="B37" s="49" t="s">
        <v>528</v>
      </c>
      <c r="C37" s="49" t="s">
        <v>617</v>
      </c>
      <c r="D37" s="49" t="s">
        <v>618</v>
      </c>
      <c r="F37" s="49">
        <v>247384433</v>
      </c>
      <c r="G37" s="49" t="s">
        <v>605</v>
      </c>
      <c r="H37" s="49" t="s">
        <v>521</v>
      </c>
      <c r="I37" s="73">
        <v>44589</v>
      </c>
      <c r="J37" s="68">
        <v>2054177</v>
      </c>
    </row>
    <row r="38" spans="1:10">
      <c r="A38" s="240" t="s">
        <v>532</v>
      </c>
      <c r="B38" s="49" t="s">
        <v>533</v>
      </c>
      <c r="C38" s="49" t="s">
        <v>619</v>
      </c>
      <c r="D38" s="49" t="s">
        <v>620</v>
      </c>
      <c r="E38" s="49" t="s">
        <v>621</v>
      </c>
      <c r="F38" s="49">
        <v>247384434</v>
      </c>
      <c r="G38" s="49" t="s">
        <v>605</v>
      </c>
      <c r="H38" s="49" t="s">
        <v>526</v>
      </c>
      <c r="I38" s="73">
        <v>44590</v>
      </c>
      <c r="J38" s="68">
        <v>2321518</v>
      </c>
    </row>
    <row r="39" spans="1:10">
      <c r="A39" s="240">
        <v>56</v>
      </c>
      <c r="B39" s="49" t="s">
        <v>538</v>
      </c>
      <c r="C39" s="49" t="s">
        <v>622</v>
      </c>
      <c r="D39" s="49" t="s">
        <v>623</v>
      </c>
      <c r="E39" s="49" t="s">
        <v>573</v>
      </c>
      <c r="F39" s="49">
        <v>247384435</v>
      </c>
      <c r="G39" s="49" t="s">
        <v>605</v>
      </c>
      <c r="H39" s="49" t="s">
        <v>531</v>
      </c>
      <c r="I39" s="73">
        <v>44591</v>
      </c>
      <c r="J39" s="68">
        <v>2588859</v>
      </c>
    </row>
    <row r="40" spans="1:10">
      <c r="A40" s="240">
        <v>344</v>
      </c>
      <c r="B40" s="49" t="s">
        <v>542</v>
      </c>
      <c r="C40" s="49" t="s">
        <v>624</v>
      </c>
      <c r="D40" s="49" t="s">
        <v>625</v>
      </c>
      <c r="E40" s="49">
        <v>99</v>
      </c>
      <c r="F40" s="49">
        <v>247384436</v>
      </c>
      <c r="G40" s="49" t="s">
        <v>605</v>
      </c>
      <c r="H40" s="49" t="s">
        <v>537</v>
      </c>
      <c r="I40" s="73">
        <v>44592</v>
      </c>
      <c r="J40" s="68">
        <v>2856200</v>
      </c>
    </row>
    <row r="41" spans="1:10">
      <c r="A41" s="240" t="s">
        <v>546</v>
      </c>
      <c r="B41" s="49" t="s">
        <v>547</v>
      </c>
      <c r="C41" s="49" t="s">
        <v>626</v>
      </c>
      <c r="D41" s="49" t="s">
        <v>627</v>
      </c>
      <c r="E41" s="49">
        <v>7343764</v>
      </c>
      <c r="F41" s="49">
        <v>247384437</v>
      </c>
      <c r="G41" s="49" t="s">
        <v>605</v>
      </c>
      <c r="H41" s="49" t="s">
        <v>184</v>
      </c>
      <c r="I41" s="73">
        <v>44593</v>
      </c>
      <c r="J41" s="68">
        <v>3123541</v>
      </c>
    </row>
    <row r="42" spans="1:10">
      <c r="A42" s="240" t="s">
        <v>551</v>
      </c>
      <c r="B42" s="49" t="s">
        <v>552</v>
      </c>
      <c r="C42" s="49" t="s">
        <v>628</v>
      </c>
      <c r="D42" s="49" t="s">
        <v>629</v>
      </c>
      <c r="E42" s="49" t="s">
        <v>630</v>
      </c>
      <c r="F42" s="49">
        <v>247384438</v>
      </c>
      <c r="G42" s="49" t="s">
        <v>605</v>
      </c>
      <c r="H42" s="49" t="s">
        <v>494</v>
      </c>
      <c r="I42" s="73">
        <v>44594</v>
      </c>
      <c r="J42" s="68">
        <v>3390882</v>
      </c>
    </row>
    <row r="43" spans="1:10">
      <c r="A43" s="240" t="s">
        <v>561</v>
      </c>
      <c r="B43" s="49" t="s">
        <v>562</v>
      </c>
      <c r="C43" s="49" t="s">
        <v>631</v>
      </c>
      <c r="D43" s="49" t="s">
        <v>632</v>
      </c>
      <c r="E43" s="49">
        <v>3434</v>
      </c>
      <c r="F43" s="49">
        <v>247384439</v>
      </c>
      <c r="G43" s="49" t="s">
        <v>605</v>
      </c>
      <c r="H43" s="49" t="s">
        <v>500</v>
      </c>
      <c r="I43" s="73">
        <v>44595</v>
      </c>
      <c r="J43" s="68">
        <v>3658223</v>
      </c>
    </row>
    <row r="44" spans="1:10">
      <c r="A44" s="240" t="s">
        <v>565</v>
      </c>
      <c r="B44" s="49" t="s">
        <v>566</v>
      </c>
      <c r="C44" s="49" t="s">
        <v>633</v>
      </c>
      <c r="D44" s="49" t="s">
        <v>634</v>
      </c>
      <c r="E44" s="49" t="s">
        <v>630</v>
      </c>
      <c r="F44" s="49">
        <v>247384440</v>
      </c>
      <c r="G44" s="49" t="s">
        <v>605</v>
      </c>
      <c r="H44" s="49" t="s">
        <v>506</v>
      </c>
      <c r="I44" s="73">
        <v>44596</v>
      </c>
      <c r="J44" s="68">
        <v>3925564</v>
      </c>
    </row>
    <row r="45" spans="1:10">
      <c r="A45" s="240">
        <v>45</v>
      </c>
      <c r="B45" s="49" t="s">
        <v>570</v>
      </c>
      <c r="C45" s="49" t="s">
        <v>635</v>
      </c>
      <c r="D45" s="49" t="s">
        <v>636</v>
      </c>
      <c r="E45" s="49" t="s">
        <v>637</v>
      </c>
      <c r="F45" s="49">
        <v>247384441</v>
      </c>
      <c r="G45" s="49" t="s">
        <v>605</v>
      </c>
      <c r="H45" s="49" t="s">
        <v>511</v>
      </c>
      <c r="I45" s="73">
        <v>44597</v>
      </c>
      <c r="J45" s="68">
        <v>4192905</v>
      </c>
    </row>
    <row r="46" spans="1:10">
      <c r="A46" s="240">
        <v>8</v>
      </c>
      <c r="B46" s="49" t="s">
        <v>574</v>
      </c>
      <c r="C46" s="49" t="s">
        <v>638</v>
      </c>
      <c r="D46" s="49" t="s">
        <v>639</v>
      </c>
      <c r="E46" s="49">
        <v>3748</v>
      </c>
      <c r="F46" s="49">
        <v>247384442</v>
      </c>
      <c r="G46" s="49" t="s">
        <v>605</v>
      </c>
      <c r="H46" s="49" t="s">
        <v>516</v>
      </c>
      <c r="I46" s="73">
        <v>44598</v>
      </c>
      <c r="J46" s="68">
        <v>4460246</v>
      </c>
    </row>
  </sheetData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F247-6FE2-46BD-A8A9-155B742B1AFF}">
  <sheetPr>
    <tabColor theme="5" tint="-0.249977111117893"/>
  </sheetPr>
  <dimension ref="A1:E168"/>
  <sheetViews>
    <sheetView zoomScale="120" zoomScaleNormal="120" workbookViewId="0">
      <selection activeCell="C18" sqref="C18"/>
    </sheetView>
  </sheetViews>
  <sheetFormatPr defaultColWidth="9.26953125" defaultRowHeight="12.5"/>
  <cols>
    <col min="1" max="1" width="18" style="233" bestFit="1" customWidth="1"/>
    <col min="2" max="2" width="13" style="66" bestFit="1" customWidth="1"/>
    <col min="3" max="4" width="10.54296875" style="49" bestFit="1" customWidth="1"/>
    <col min="5" max="5" width="13.7265625" style="71" bestFit="1" customWidth="1"/>
    <col min="6" max="16384" width="9.26953125" style="49"/>
  </cols>
  <sheetData>
    <row r="1" spans="1:5" ht="13">
      <c r="A1" s="229" t="s">
        <v>466</v>
      </c>
      <c r="B1" s="230" t="s">
        <v>467</v>
      </c>
      <c r="C1" s="231" t="s">
        <v>413</v>
      </c>
      <c r="D1" s="231" t="s">
        <v>468</v>
      </c>
      <c r="E1" s="232" t="s">
        <v>474</v>
      </c>
    </row>
    <row r="2" spans="1:5">
      <c r="A2" s="233">
        <v>201</v>
      </c>
      <c r="B2" s="66" t="s">
        <v>187</v>
      </c>
      <c r="C2" s="234">
        <v>8374</v>
      </c>
      <c r="D2" s="73">
        <v>38641</v>
      </c>
      <c r="E2" s="41"/>
    </row>
    <row r="3" spans="1:5">
      <c r="A3" s="233" t="s">
        <v>475</v>
      </c>
      <c r="B3" s="66" t="s">
        <v>187</v>
      </c>
      <c r="C3" s="234">
        <v>26775</v>
      </c>
      <c r="D3" s="73">
        <v>42648</v>
      </c>
      <c r="E3" s="41"/>
    </row>
    <row r="4" spans="1:5">
      <c r="A4" s="233">
        <v>919</v>
      </c>
      <c r="B4" s="66" t="s">
        <v>187</v>
      </c>
      <c r="C4" s="234">
        <v>51042</v>
      </c>
      <c r="D4" s="73">
        <v>43471</v>
      </c>
      <c r="E4" s="41"/>
    </row>
    <row r="5" spans="1:5">
      <c r="A5" s="233">
        <v>375</v>
      </c>
      <c r="B5" s="66" t="s">
        <v>470</v>
      </c>
      <c r="C5" s="234">
        <v>1339</v>
      </c>
      <c r="D5" s="73">
        <v>37485</v>
      </c>
      <c r="E5" s="41"/>
    </row>
    <row r="6" spans="1:5">
      <c r="A6" s="233">
        <v>712</v>
      </c>
      <c r="B6" s="66" t="s">
        <v>470</v>
      </c>
      <c r="C6" s="234">
        <v>39542</v>
      </c>
      <c r="D6" s="73">
        <v>37012</v>
      </c>
      <c r="E6" s="41"/>
    </row>
    <row r="7" spans="1:5">
      <c r="A7" s="233">
        <v>958</v>
      </c>
      <c r="B7" s="66" t="s">
        <v>476</v>
      </c>
      <c r="C7" s="234">
        <v>56642</v>
      </c>
      <c r="D7" s="73">
        <v>42168</v>
      </c>
      <c r="E7" s="41"/>
    </row>
    <row r="8" spans="1:5">
      <c r="A8" s="233">
        <v>499</v>
      </c>
      <c r="B8" s="66" t="s">
        <v>470</v>
      </c>
      <c r="C8" s="234">
        <v>15451</v>
      </c>
      <c r="D8" s="73">
        <v>45287</v>
      </c>
      <c r="E8" s="41"/>
    </row>
    <row r="9" spans="1:5">
      <c r="A9" s="233">
        <v>119</v>
      </c>
      <c r="B9" s="66" t="s">
        <v>470</v>
      </c>
      <c r="C9" s="234">
        <v>60674</v>
      </c>
      <c r="D9" s="73">
        <v>36992</v>
      </c>
      <c r="E9" s="41"/>
    </row>
    <row r="10" spans="1:5">
      <c r="A10" s="233">
        <v>797</v>
      </c>
      <c r="B10" s="66" t="s">
        <v>470</v>
      </c>
      <c r="C10" s="234">
        <v>62117</v>
      </c>
      <c r="D10" s="73">
        <v>37742</v>
      </c>
      <c r="E10" s="41"/>
    </row>
    <row r="11" spans="1:5">
      <c r="A11" s="233">
        <v>342</v>
      </c>
      <c r="B11" s="66" t="s">
        <v>187</v>
      </c>
      <c r="C11" s="234">
        <v>29881</v>
      </c>
      <c r="D11" s="73">
        <v>37591</v>
      </c>
      <c r="E11" s="41"/>
    </row>
    <row r="12" spans="1:5">
      <c r="A12" s="233">
        <v>384</v>
      </c>
      <c r="B12" s="66" t="s">
        <v>187</v>
      </c>
      <c r="C12" s="234">
        <v>37838</v>
      </c>
      <c r="D12" s="73">
        <v>39809</v>
      </c>
      <c r="E12" s="41"/>
    </row>
    <row r="13" spans="1:5">
      <c r="A13" s="233">
        <v>580</v>
      </c>
      <c r="B13" s="66" t="s">
        <v>187</v>
      </c>
      <c r="C13" s="234">
        <v>59236</v>
      </c>
      <c r="D13" s="73">
        <v>41079</v>
      </c>
      <c r="E13" s="41"/>
    </row>
    <row r="14" spans="1:5">
      <c r="A14" s="233">
        <v>226</v>
      </c>
      <c r="B14" s="66" t="s">
        <v>187</v>
      </c>
      <c r="C14" s="234">
        <v>14166</v>
      </c>
      <c r="D14" s="73">
        <v>40540</v>
      </c>
      <c r="E14" s="41"/>
    </row>
    <row r="15" spans="1:5">
      <c r="A15" s="233">
        <v>265</v>
      </c>
      <c r="B15" s="66" t="s">
        <v>187</v>
      </c>
      <c r="C15" s="234">
        <v>17228</v>
      </c>
      <c r="D15" s="73">
        <v>36276</v>
      </c>
      <c r="E15" s="41"/>
    </row>
    <row r="16" spans="1:5">
      <c r="A16" s="233" t="s">
        <v>477</v>
      </c>
      <c r="B16" s="66" t="s">
        <v>193</v>
      </c>
      <c r="C16" s="234">
        <v>40588</v>
      </c>
      <c r="D16" s="73">
        <v>39077</v>
      </c>
      <c r="E16" s="41"/>
    </row>
    <row r="17" spans="1:5">
      <c r="A17" s="233">
        <v>856</v>
      </c>
      <c r="B17" s="66" t="s">
        <v>193</v>
      </c>
      <c r="C17" s="234">
        <v>63847</v>
      </c>
      <c r="D17" s="73">
        <v>36275</v>
      </c>
      <c r="E17" s="41"/>
    </row>
    <row r="18" spans="1:5">
      <c r="A18" s="233">
        <v>964</v>
      </c>
      <c r="B18" s="66" t="s">
        <v>193</v>
      </c>
      <c r="C18" s="234">
        <v>31151</v>
      </c>
      <c r="D18" s="73">
        <v>44939</v>
      </c>
      <c r="E18" s="41"/>
    </row>
    <row r="19" spans="1:5">
      <c r="A19" s="233">
        <v>294</v>
      </c>
      <c r="B19" s="66" t="s">
        <v>193</v>
      </c>
      <c r="C19" s="234">
        <v>30154</v>
      </c>
      <c r="D19" s="73">
        <v>37854</v>
      </c>
      <c r="E19" s="41"/>
    </row>
    <row r="20" spans="1:5">
      <c r="A20" s="233">
        <v>563</v>
      </c>
      <c r="B20" s="66" t="s">
        <v>184</v>
      </c>
      <c r="C20" s="234">
        <v>48666</v>
      </c>
      <c r="D20" s="73">
        <v>38070</v>
      </c>
      <c r="E20" s="41"/>
    </row>
    <row r="21" spans="1:5">
      <c r="A21" s="233">
        <v>177</v>
      </c>
      <c r="B21" s="66" t="s">
        <v>184</v>
      </c>
      <c r="C21" s="234">
        <v>29379</v>
      </c>
      <c r="D21" s="73">
        <v>43932</v>
      </c>
      <c r="E21" s="41"/>
    </row>
    <row r="22" spans="1:5">
      <c r="A22" s="233">
        <v>543</v>
      </c>
      <c r="B22" s="66" t="s">
        <v>184</v>
      </c>
      <c r="C22" s="234">
        <v>38448</v>
      </c>
      <c r="D22" s="73">
        <v>39859</v>
      </c>
      <c r="E22" s="41"/>
    </row>
    <row r="23" spans="1:5">
      <c r="A23" s="233">
        <v>862</v>
      </c>
      <c r="B23" s="66" t="s">
        <v>184</v>
      </c>
      <c r="C23" s="234">
        <v>4516</v>
      </c>
      <c r="D23" s="73">
        <v>39999</v>
      </c>
      <c r="E23" s="41"/>
    </row>
    <row r="24" spans="1:5">
      <c r="A24" s="233">
        <v>756</v>
      </c>
      <c r="B24" s="66" t="s">
        <v>184</v>
      </c>
      <c r="C24" s="234">
        <v>20214</v>
      </c>
      <c r="D24" s="73">
        <v>36031</v>
      </c>
      <c r="E24" s="41"/>
    </row>
    <row r="25" spans="1:5">
      <c r="A25" s="233">
        <v>734</v>
      </c>
      <c r="B25" s="66" t="s">
        <v>193</v>
      </c>
      <c r="C25" s="234">
        <v>5474</v>
      </c>
      <c r="D25" s="73">
        <v>38839</v>
      </c>
      <c r="E25" s="41"/>
    </row>
    <row r="26" spans="1:5">
      <c r="A26" s="233">
        <v>910</v>
      </c>
      <c r="B26" s="66" t="s">
        <v>193</v>
      </c>
      <c r="C26" s="234">
        <v>25092</v>
      </c>
      <c r="D26" s="73">
        <v>44112</v>
      </c>
      <c r="E26" s="41"/>
    </row>
    <row r="27" spans="1:5">
      <c r="A27" s="233">
        <v>973</v>
      </c>
      <c r="B27" s="66" t="s">
        <v>193</v>
      </c>
      <c r="C27" s="234">
        <v>43068</v>
      </c>
      <c r="D27" s="73">
        <v>45276</v>
      </c>
      <c r="E27" s="41"/>
    </row>
    <row r="28" spans="1:5">
      <c r="A28" s="233">
        <v>365</v>
      </c>
      <c r="B28" s="66" t="s">
        <v>472</v>
      </c>
      <c r="C28" s="234">
        <v>21778</v>
      </c>
      <c r="D28" s="73">
        <v>43320</v>
      </c>
      <c r="E28" s="41"/>
    </row>
    <row r="29" spans="1:5">
      <c r="A29" s="233">
        <v>166</v>
      </c>
      <c r="B29" s="66" t="s">
        <v>472</v>
      </c>
      <c r="C29" s="234">
        <v>44387</v>
      </c>
      <c r="D29" s="73">
        <v>39457</v>
      </c>
      <c r="E29" s="41"/>
    </row>
    <row r="30" spans="1:5">
      <c r="A30" s="233">
        <v>496</v>
      </c>
      <c r="B30" s="66" t="s">
        <v>193</v>
      </c>
      <c r="C30" s="234">
        <v>14336</v>
      </c>
      <c r="D30" s="73">
        <v>40577</v>
      </c>
      <c r="E30" s="41"/>
    </row>
    <row r="31" spans="1:5">
      <c r="A31" s="233">
        <v>189</v>
      </c>
      <c r="B31" s="66" t="s">
        <v>193</v>
      </c>
      <c r="C31" s="234">
        <v>54582</v>
      </c>
      <c r="D31" s="73">
        <v>42873</v>
      </c>
      <c r="E31" s="41"/>
    </row>
    <row r="32" spans="1:5">
      <c r="A32" s="233">
        <v>415</v>
      </c>
      <c r="B32" s="66" t="s">
        <v>184</v>
      </c>
      <c r="C32" s="234">
        <v>55910</v>
      </c>
      <c r="D32" s="73">
        <v>42614</v>
      </c>
      <c r="E32" s="41"/>
    </row>
    <row r="33" spans="1:5">
      <c r="A33" s="233">
        <v>407</v>
      </c>
      <c r="B33" s="66" t="s">
        <v>184</v>
      </c>
      <c r="C33" s="234">
        <v>40548</v>
      </c>
      <c r="D33" s="73">
        <v>41800</v>
      </c>
      <c r="E33" s="41"/>
    </row>
    <row r="34" spans="1:5">
      <c r="A34" s="233">
        <v>219</v>
      </c>
      <c r="B34" s="66" t="s">
        <v>184</v>
      </c>
      <c r="C34" s="234">
        <v>9383</v>
      </c>
      <c r="D34" s="73">
        <v>45193</v>
      </c>
      <c r="E34" s="41"/>
    </row>
    <row r="35" spans="1:5">
      <c r="A35" s="233">
        <v>253</v>
      </c>
      <c r="B35" s="66" t="s">
        <v>472</v>
      </c>
      <c r="C35" s="234">
        <v>13187</v>
      </c>
      <c r="D35" s="73">
        <v>43553</v>
      </c>
      <c r="E35" s="41"/>
    </row>
    <row r="36" spans="1:5">
      <c r="A36" s="233">
        <v>513</v>
      </c>
      <c r="B36" s="66" t="s">
        <v>193</v>
      </c>
      <c r="C36" s="234">
        <v>22124</v>
      </c>
      <c r="D36" s="73">
        <v>40759</v>
      </c>
      <c r="E36" s="41"/>
    </row>
    <row r="37" spans="1:5">
      <c r="A37" s="233">
        <v>783</v>
      </c>
      <c r="B37" s="66" t="s">
        <v>193</v>
      </c>
      <c r="C37" s="234">
        <v>63570</v>
      </c>
      <c r="D37" s="73">
        <v>39116</v>
      </c>
      <c r="E37" s="41"/>
    </row>
    <row r="38" spans="1:5">
      <c r="A38" s="233">
        <v>464</v>
      </c>
      <c r="B38" s="66" t="s">
        <v>193</v>
      </c>
      <c r="C38" s="234">
        <v>52566</v>
      </c>
      <c r="D38" s="73">
        <v>36561</v>
      </c>
      <c r="E38" s="41"/>
    </row>
    <row r="39" spans="1:5">
      <c r="A39" s="233">
        <v>948</v>
      </c>
      <c r="B39" s="66" t="s">
        <v>193</v>
      </c>
      <c r="C39" s="234">
        <v>31265</v>
      </c>
      <c r="D39" s="73">
        <v>37606</v>
      </c>
      <c r="E39" s="41"/>
    </row>
    <row r="40" spans="1:5">
      <c r="A40" s="233">
        <v>744</v>
      </c>
      <c r="B40" s="66" t="s">
        <v>473</v>
      </c>
      <c r="C40" s="234">
        <v>55184</v>
      </c>
      <c r="D40" s="73">
        <v>40890</v>
      </c>
      <c r="E40" s="41"/>
    </row>
    <row r="41" spans="1:5">
      <c r="A41" s="233">
        <v>969</v>
      </c>
      <c r="B41" s="66" t="s">
        <v>473</v>
      </c>
      <c r="C41" s="234">
        <v>36439</v>
      </c>
      <c r="D41" s="73">
        <v>40035</v>
      </c>
      <c r="E41" s="41"/>
    </row>
    <row r="42" spans="1:5">
      <c r="A42" s="233">
        <v>366</v>
      </c>
      <c r="B42" s="66" t="s">
        <v>473</v>
      </c>
      <c r="C42" s="234">
        <v>19212</v>
      </c>
      <c r="D42" s="73">
        <v>41377</v>
      </c>
      <c r="E42" s="41"/>
    </row>
    <row r="43" spans="1:5">
      <c r="A43" s="233">
        <v>252</v>
      </c>
      <c r="B43" s="66" t="s">
        <v>187</v>
      </c>
      <c r="C43" s="234">
        <v>26161</v>
      </c>
      <c r="D43" s="73">
        <v>41068</v>
      </c>
      <c r="E43" s="41"/>
    </row>
    <row r="44" spans="1:5">
      <c r="A44" s="233">
        <v>308</v>
      </c>
      <c r="B44" s="66" t="s">
        <v>184</v>
      </c>
      <c r="C44" s="234">
        <v>44124</v>
      </c>
      <c r="D44" s="73">
        <v>45198</v>
      </c>
      <c r="E44" s="41"/>
    </row>
    <row r="45" spans="1:5">
      <c r="C45" s="234"/>
      <c r="D45" s="73"/>
    </row>
    <row r="46" spans="1:5">
      <c r="C46" s="234"/>
      <c r="D46" s="73"/>
    </row>
    <row r="47" spans="1:5" ht="13.5">
      <c r="C47" s="235"/>
      <c r="D47" s="73"/>
    </row>
    <row r="48" spans="1:5" ht="13.5">
      <c r="C48" s="235"/>
      <c r="D48" s="73"/>
    </row>
    <row r="49" spans="3:4" ht="13.5">
      <c r="C49" s="235"/>
      <c r="D49" s="73"/>
    </row>
    <row r="50" spans="3:4" ht="13.5">
      <c r="C50" s="235"/>
      <c r="D50" s="73"/>
    </row>
    <row r="51" spans="3:4" ht="13.5">
      <c r="C51" s="235"/>
      <c r="D51" s="73"/>
    </row>
    <row r="52" spans="3:4" ht="13.5">
      <c r="C52" s="235"/>
      <c r="D52" s="73"/>
    </row>
    <row r="53" spans="3:4" ht="13.5">
      <c r="C53" s="235"/>
      <c r="D53" s="73"/>
    </row>
    <row r="54" spans="3:4" ht="13.5">
      <c r="C54" s="235"/>
      <c r="D54" s="73"/>
    </row>
    <row r="55" spans="3:4" ht="13.5">
      <c r="C55" s="235"/>
      <c r="D55" s="73"/>
    </row>
    <row r="56" spans="3:4" ht="13.5">
      <c r="C56" s="235"/>
      <c r="D56" s="73"/>
    </row>
    <row r="57" spans="3:4" ht="13.5">
      <c r="C57" s="235"/>
      <c r="D57" s="73"/>
    </row>
    <row r="58" spans="3:4" ht="13.5">
      <c r="C58" s="235"/>
      <c r="D58" s="73"/>
    </row>
    <row r="59" spans="3:4" ht="13.5">
      <c r="C59" s="235"/>
      <c r="D59" s="73"/>
    </row>
    <row r="60" spans="3:4" ht="13.5">
      <c r="C60" s="235"/>
      <c r="D60" s="73"/>
    </row>
    <row r="61" spans="3:4" ht="13.5">
      <c r="C61" s="235"/>
      <c r="D61" s="73"/>
    </row>
    <row r="62" spans="3:4" ht="13.5">
      <c r="C62" s="235"/>
      <c r="D62" s="73"/>
    </row>
    <row r="63" spans="3:4" ht="13.5">
      <c r="C63" s="235"/>
      <c r="D63" s="73"/>
    </row>
    <row r="64" spans="3:4" ht="13.5">
      <c r="C64" s="235"/>
      <c r="D64" s="73"/>
    </row>
    <row r="65" spans="3:4" ht="13.5">
      <c r="C65" s="235"/>
      <c r="D65" s="73"/>
    </row>
    <row r="66" spans="3:4" ht="13.5">
      <c r="C66" s="235"/>
      <c r="D66" s="73"/>
    </row>
    <row r="67" spans="3:4" ht="13.5">
      <c r="C67" s="235"/>
      <c r="D67" s="73"/>
    </row>
    <row r="68" spans="3:4" ht="13.5">
      <c r="C68" s="235"/>
      <c r="D68" s="73"/>
    </row>
    <row r="69" spans="3:4" ht="13.5">
      <c r="C69" s="235"/>
      <c r="D69" s="73"/>
    </row>
    <row r="70" spans="3:4" ht="13.5">
      <c r="C70" s="235"/>
      <c r="D70" s="73"/>
    </row>
    <row r="71" spans="3:4" ht="13.5">
      <c r="C71" s="235"/>
      <c r="D71" s="73"/>
    </row>
    <row r="72" spans="3:4" ht="13.5">
      <c r="C72" s="235"/>
      <c r="D72" s="73"/>
    </row>
    <row r="73" spans="3:4" ht="13.5">
      <c r="C73" s="235"/>
      <c r="D73" s="73"/>
    </row>
    <row r="74" spans="3:4" ht="13.5">
      <c r="C74" s="235"/>
      <c r="D74" s="73"/>
    </row>
    <row r="75" spans="3:4" ht="13.5">
      <c r="C75" s="235"/>
      <c r="D75" s="73"/>
    </row>
    <row r="76" spans="3:4" ht="13.5">
      <c r="C76" s="235"/>
      <c r="D76" s="73"/>
    </row>
    <row r="77" spans="3:4" ht="13.5">
      <c r="C77" s="235"/>
      <c r="D77" s="73"/>
    </row>
    <row r="78" spans="3:4" ht="13.5">
      <c r="C78" s="235"/>
      <c r="D78" s="73"/>
    </row>
    <row r="79" spans="3:4" ht="13.5">
      <c r="C79" s="235"/>
      <c r="D79" s="73"/>
    </row>
    <row r="80" spans="3:4" ht="13.5">
      <c r="C80" s="235"/>
      <c r="D80" s="73"/>
    </row>
    <row r="81" spans="3:4" ht="13.5">
      <c r="C81" s="235"/>
      <c r="D81" s="73"/>
    </row>
    <row r="82" spans="3:4" ht="13.5">
      <c r="C82" s="235"/>
      <c r="D82" s="73"/>
    </row>
    <row r="83" spans="3:4" ht="13.5">
      <c r="C83" s="235"/>
      <c r="D83" s="73"/>
    </row>
    <row r="84" spans="3:4" ht="13.5">
      <c r="C84" s="235"/>
      <c r="D84" s="73"/>
    </row>
    <row r="85" spans="3:4" ht="13.5">
      <c r="C85" s="235"/>
      <c r="D85" s="73"/>
    </row>
    <row r="86" spans="3:4" ht="13.5">
      <c r="C86" s="235"/>
      <c r="D86" s="73"/>
    </row>
    <row r="87" spans="3:4" ht="13.5">
      <c r="C87" s="235"/>
      <c r="D87" s="73"/>
    </row>
    <row r="88" spans="3:4" ht="13.5">
      <c r="C88" s="235"/>
      <c r="D88" s="73"/>
    </row>
    <row r="89" spans="3:4" ht="13.5">
      <c r="C89" s="235"/>
      <c r="D89" s="73"/>
    </row>
    <row r="90" spans="3:4" ht="13.5">
      <c r="C90" s="235"/>
      <c r="D90" s="73"/>
    </row>
    <row r="91" spans="3:4" ht="13.5">
      <c r="C91" s="235"/>
      <c r="D91" s="73"/>
    </row>
    <row r="92" spans="3:4" ht="13.5">
      <c r="C92" s="235"/>
      <c r="D92" s="73"/>
    </row>
    <row r="93" spans="3:4" ht="13.5">
      <c r="C93" s="235"/>
      <c r="D93" s="73"/>
    </row>
    <row r="94" spans="3:4" ht="13.5">
      <c r="C94" s="235"/>
      <c r="D94" s="73"/>
    </row>
    <row r="95" spans="3:4" ht="13.5">
      <c r="C95" s="235"/>
      <c r="D95" s="73"/>
    </row>
    <row r="96" spans="3:4" ht="13.5">
      <c r="C96" s="235"/>
      <c r="D96" s="73"/>
    </row>
    <row r="97" spans="3:4" ht="13.5">
      <c r="C97" s="235"/>
      <c r="D97" s="73"/>
    </row>
    <row r="98" spans="3:4" ht="13.5">
      <c r="C98" s="235"/>
      <c r="D98" s="73"/>
    </row>
    <row r="99" spans="3:4" ht="13.5">
      <c r="C99" s="235"/>
      <c r="D99" s="73"/>
    </row>
    <row r="100" spans="3:4" ht="13.5">
      <c r="C100" s="235"/>
      <c r="D100" s="73"/>
    </row>
    <row r="101" spans="3:4" ht="13.5">
      <c r="C101" s="235"/>
      <c r="D101" s="73"/>
    </row>
    <row r="102" spans="3:4" ht="13.5">
      <c r="C102" s="235"/>
      <c r="D102" s="73"/>
    </row>
    <row r="103" spans="3:4" ht="13.5">
      <c r="C103" s="235"/>
      <c r="D103" s="73"/>
    </row>
    <row r="104" spans="3:4" ht="13.5">
      <c r="C104" s="235"/>
      <c r="D104" s="73"/>
    </row>
    <row r="105" spans="3:4" ht="13.5">
      <c r="C105" s="235"/>
      <c r="D105" s="73"/>
    </row>
    <row r="106" spans="3:4" ht="13.5">
      <c r="C106" s="235"/>
      <c r="D106" s="73"/>
    </row>
    <row r="107" spans="3:4" ht="13.5">
      <c r="C107" s="235"/>
      <c r="D107" s="73"/>
    </row>
    <row r="108" spans="3:4" ht="13.5">
      <c r="C108" s="235"/>
      <c r="D108" s="73"/>
    </row>
    <row r="109" spans="3:4" ht="13.5">
      <c r="C109" s="235"/>
      <c r="D109" s="73"/>
    </row>
    <row r="110" spans="3:4" ht="13.5">
      <c r="C110" s="235"/>
      <c r="D110" s="73"/>
    </row>
    <row r="111" spans="3:4" ht="13.5">
      <c r="C111" s="235"/>
      <c r="D111" s="73"/>
    </row>
    <row r="112" spans="3:4" ht="13.5">
      <c r="C112" s="235"/>
      <c r="D112" s="73"/>
    </row>
    <row r="113" spans="3:4" ht="13.5">
      <c r="C113" s="235"/>
      <c r="D113" s="73"/>
    </row>
    <row r="114" spans="3:4" ht="13.5">
      <c r="C114" s="235"/>
      <c r="D114" s="73"/>
    </row>
    <row r="115" spans="3:4" ht="13.5">
      <c r="C115" s="235"/>
      <c r="D115" s="73"/>
    </row>
    <row r="116" spans="3:4" ht="13.5">
      <c r="C116" s="235"/>
      <c r="D116" s="73"/>
    </row>
    <row r="117" spans="3:4" ht="13.5">
      <c r="C117" s="235"/>
      <c r="D117" s="73"/>
    </row>
    <row r="118" spans="3:4" ht="13.5">
      <c r="C118" s="235"/>
      <c r="D118" s="73"/>
    </row>
    <row r="119" spans="3:4" ht="13.5">
      <c r="C119" s="235"/>
      <c r="D119" s="73"/>
    </row>
    <row r="120" spans="3:4" ht="13.5">
      <c r="C120" s="235"/>
      <c r="D120" s="73"/>
    </row>
    <row r="121" spans="3:4" ht="13.5">
      <c r="C121" s="235"/>
      <c r="D121" s="73"/>
    </row>
    <row r="122" spans="3:4" ht="13.5">
      <c r="C122" s="235"/>
      <c r="D122" s="73"/>
    </row>
    <row r="123" spans="3:4" ht="13.5">
      <c r="C123" s="235"/>
      <c r="D123" s="73"/>
    </row>
    <row r="124" spans="3:4" ht="13.5">
      <c r="C124" s="235"/>
      <c r="D124" s="73"/>
    </row>
    <row r="125" spans="3:4" ht="13.5">
      <c r="C125" s="235"/>
      <c r="D125" s="73"/>
    </row>
    <row r="126" spans="3:4" ht="13.5">
      <c r="C126" s="235"/>
      <c r="D126" s="73"/>
    </row>
    <row r="127" spans="3:4" ht="13.5">
      <c r="C127" s="235"/>
      <c r="D127" s="73"/>
    </row>
    <row r="128" spans="3:4" ht="13.5">
      <c r="C128" s="235"/>
      <c r="D128" s="73"/>
    </row>
    <row r="129" spans="3:4" ht="13.5">
      <c r="C129" s="235"/>
      <c r="D129" s="73"/>
    </row>
    <row r="130" spans="3:4" ht="13.5">
      <c r="C130" s="235"/>
      <c r="D130" s="73"/>
    </row>
    <row r="131" spans="3:4" ht="13.5">
      <c r="C131" s="235"/>
      <c r="D131" s="73"/>
    </row>
    <row r="132" spans="3:4" ht="13.5">
      <c r="C132" s="235"/>
      <c r="D132" s="73"/>
    </row>
    <row r="133" spans="3:4" ht="13.5">
      <c r="C133" s="235"/>
      <c r="D133" s="73"/>
    </row>
    <row r="134" spans="3:4" ht="13.5">
      <c r="C134" s="235"/>
      <c r="D134" s="73"/>
    </row>
    <row r="135" spans="3:4" ht="13.5">
      <c r="C135" s="235"/>
      <c r="D135" s="73"/>
    </row>
    <row r="136" spans="3:4" ht="13.5">
      <c r="C136" s="235"/>
      <c r="D136" s="73"/>
    </row>
    <row r="137" spans="3:4" ht="13.5">
      <c r="C137" s="235"/>
      <c r="D137" s="73"/>
    </row>
    <row r="138" spans="3:4" ht="13.5">
      <c r="C138" s="235"/>
      <c r="D138" s="73"/>
    </row>
    <row r="139" spans="3:4" ht="13.5">
      <c r="C139" s="235"/>
      <c r="D139" s="73"/>
    </row>
    <row r="140" spans="3:4" ht="13.5">
      <c r="C140" s="235"/>
      <c r="D140" s="73"/>
    </row>
    <row r="141" spans="3:4" ht="13.5">
      <c r="C141" s="235"/>
      <c r="D141" s="73"/>
    </row>
    <row r="142" spans="3:4" ht="13.5">
      <c r="C142" s="235"/>
      <c r="D142" s="73"/>
    </row>
    <row r="143" spans="3:4" ht="13.5">
      <c r="C143" s="235"/>
      <c r="D143" s="73"/>
    </row>
    <row r="144" spans="3:4" ht="13.5">
      <c r="C144" s="235"/>
      <c r="D144" s="73"/>
    </row>
    <row r="145" spans="3:4" ht="13.5">
      <c r="C145" s="235"/>
      <c r="D145" s="73"/>
    </row>
    <row r="146" spans="3:4" ht="13.5">
      <c r="C146" s="235"/>
      <c r="D146" s="73"/>
    </row>
    <row r="147" spans="3:4" ht="13.5">
      <c r="C147" s="235"/>
      <c r="D147" s="73"/>
    </row>
    <row r="148" spans="3:4" ht="13.5">
      <c r="C148" s="235"/>
      <c r="D148" s="73"/>
    </row>
    <row r="149" spans="3:4" ht="13.5">
      <c r="C149" s="235"/>
      <c r="D149" s="73"/>
    </row>
    <row r="150" spans="3:4" ht="13.5">
      <c r="C150" s="235"/>
      <c r="D150" s="73"/>
    </row>
    <row r="151" spans="3:4" ht="13.5">
      <c r="C151" s="235"/>
      <c r="D151" s="73"/>
    </row>
    <row r="152" spans="3:4" ht="13.5">
      <c r="C152" s="235"/>
      <c r="D152" s="73"/>
    </row>
    <row r="153" spans="3:4" ht="13.5">
      <c r="C153" s="235"/>
      <c r="D153" s="73"/>
    </row>
    <row r="154" spans="3:4" ht="13.5">
      <c r="C154" s="235"/>
      <c r="D154" s="73"/>
    </row>
    <row r="155" spans="3:4" ht="13.5">
      <c r="C155" s="235"/>
      <c r="D155" s="73"/>
    </row>
    <row r="156" spans="3:4" ht="13.5">
      <c r="C156" s="235"/>
      <c r="D156" s="73"/>
    </row>
    <row r="157" spans="3:4" ht="13.5">
      <c r="C157" s="235"/>
      <c r="D157" s="73"/>
    </row>
    <row r="158" spans="3:4" ht="13.5">
      <c r="C158" s="235"/>
      <c r="D158" s="73"/>
    </row>
    <row r="159" spans="3:4" ht="13.5">
      <c r="C159" s="235"/>
      <c r="D159" s="73"/>
    </row>
    <row r="160" spans="3:4" ht="13.5">
      <c r="C160" s="235"/>
      <c r="D160" s="73"/>
    </row>
    <row r="161" spans="3:4" ht="13.5">
      <c r="C161" s="235"/>
      <c r="D161" s="73"/>
    </row>
    <row r="162" spans="3:4" ht="13.5">
      <c r="C162" s="235"/>
      <c r="D162" s="73"/>
    </row>
    <row r="163" spans="3:4" ht="13.5">
      <c r="C163" s="235"/>
      <c r="D163" s="73"/>
    </row>
    <row r="164" spans="3:4" ht="13.5">
      <c r="C164" s="235"/>
      <c r="D164" s="73"/>
    </row>
    <row r="165" spans="3:4" ht="13.5">
      <c r="C165" s="235"/>
      <c r="D165" s="73"/>
    </row>
    <row r="166" spans="3:4" ht="13.5">
      <c r="C166" s="235"/>
      <c r="D166" s="73"/>
    </row>
    <row r="167" spans="3:4" ht="13.5">
      <c r="C167" s="235"/>
      <c r="D167" s="73"/>
    </row>
    <row r="168" spans="3:4" ht="13.5">
      <c r="C168" s="235"/>
      <c r="D168" s="73"/>
    </row>
  </sheetData>
  <conditionalFormatting sqref="A47:A1048576 A1:A45">
    <cfRule type="duplicateValues" dxfId="3" priority="1" stopIfTrue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ACCC-E64E-4BF7-BC39-FCBFF1B22CAD}">
  <sheetPr>
    <tabColor theme="5" tint="-0.249977111117893"/>
  </sheetPr>
  <dimension ref="A1:M160"/>
  <sheetViews>
    <sheetView zoomScale="120" zoomScaleNormal="120" workbookViewId="0">
      <selection activeCell="A33" sqref="A33"/>
    </sheetView>
  </sheetViews>
  <sheetFormatPr defaultColWidth="9.26953125" defaultRowHeight="14"/>
  <cols>
    <col min="1" max="1" width="23.81640625" style="223" bestFit="1" customWidth="1"/>
    <col min="2" max="2" width="18.7265625" style="223" bestFit="1" customWidth="1"/>
    <col min="3" max="3" width="13.26953125" style="224" bestFit="1" customWidth="1"/>
    <col min="4" max="4" width="12.7265625" style="222" bestFit="1" customWidth="1"/>
    <col min="5" max="5" width="18.1796875" style="228" bestFit="1" customWidth="1"/>
    <col min="6" max="7" width="9.26953125" style="222"/>
    <col min="8" max="8" width="10.26953125" style="222" customWidth="1"/>
    <col min="9" max="10" width="9.26953125" style="222" customWidth="1"/>
    <col min="11" max="11" width="10.26953125" style="222" customWidth="1"/>
    <col min="12" max="16384" width="9.26953125" style="222"/>
  </cols>
  <sheetData>
    <row r="1" spans="1:13">
      <c r="A1" s="217" t="s">
        <v>466</v>
      </c>
      <c r="B1" s="217" t="s">
        <v>467</v>
      </c>
      <c r="C1" s="218" t="s">
        <v>413</v>
      </c>
      <c r="D1" s="219" t="s">
        <v>468</v>
      </c>
      <c r="E1" s="220" t="s">
        <v>469</v>
      </c>
      <c r="F1" s="221"/>
      <c r="G1" s="221"/>
      <c r="H1" s="221"/>
      <c r="I1" s="221"/>
      <c r="J1" s="221"/>
      <c r="K1" s="221"/>
      <c r="L1" s="221"/>
      <c r="M1" s="221"/>
    </row>
    <row r="2" spans="1:13">
      <c r="A2" s="223">
        <v>375</v>
      </c>
      <c r="B2" s="223" t="s">
        <v>470</v>
      </c>
      <c r="C2" s="224">
        <v>1339</v>
      </c>
      <c r="D2" s="225">
        <v>37485</v>
      </c>
      <c r="E2" s="41"/>
      <c r="F2" s="221"/>
      <c r="G2" s="221"/>
      <c r="H2" s="221"/>
      <c r="I2" s="221"/>
      <c r="J2" s="221"/>
      <c r="K2" s="221"/>
      <c r="L2" s="221"/>
      <c r="M2" s="221"/>
    </row>
    <row r="3" spans="1:13">
      <c r="A3" s="223">
        <v>991</v>
      </c>
      <c r="B3" s="226" t="s">
        <v>471</v>
      </c>
      <c r="C3" s="227">
        <v>3232</v>
      </c>
      <c r="D3" s="225">
        <v>44960</v>
      </c>
      <c r="E3" s="41"/>
    </row>
    <row r="4" spans="1:13">
      <c r="A4" s="223">
        <v>862</v>
      </c>
      <c r="B4" s="223" t="s">
        <v>184</v>
      </c>
      <c r="C4" s="224">
        <v>4516</v>
      </c>
      <c r="D4" s="225">
        <v>39999</v>
      </c>
      <c r="E4" s="41"/>
    </row>
    <row r="5" spans="1:13">
      <c r="A5" s="223">
        <v>734</v>
      </c>
      <c r="B5" s="223" t="s">
        <v>193</v>
      </c>
      <c r="C5" s="224">
        <v>5474</v>
      </c>
      <c r="D5" s="225">
        <v>38839</v>
      </c>
      <c r="E5" s="41"/>
    </row>
    <row r="6" spans="1:13">
      <c r="A6" s="223">
        <v>201</v>
      </c>
      <c r="B6" s="223" t="s">
        <v>187</v>
      </c>
      <c r="C6" s="224">
        <v>8374</v>
      </c>
      <c r="D6" s="225">
        <v>38641</v>
      </c>
      <c r="E6" s="41"/>
      <c r="F6" s="221"/>
      <c r="G6" s="221"/>
      <c r="H6" s="221"/>
      <c r="I6" s="221"/>
      <c r="J6" s="221"/>
      <c r="K6" s="221"/>
      <c r="L6" s="221"/>
      <c r="M6" s="221"/>
    </row>
    <row r="7" spans="1:13">
      <c r="A7" s="223">
        <v>219</v>
      </c>
      <c r="B7" s="223" t="s">
        <v>184</v>
      </c>
      <c r="C7" s="224">
        <v>9383</v>
      </c>
      <c r="D7" s="225">
        <v>39349</v>
      </c>
      <c r="E7" s="41"/>
    </row>
    <row r="8" spans="1:13">
      <c r="A8" s="223">
        <v>253</v>
      </c>
      <c r="B8" s="223" t="s">
        <v>472</v>
      </c>
      <c r="C8" s="224">
        <v>13187</v>
      </c>
      <c r="D8" s="225">
        <v>43553</v>
      </c>
      <c r="E8" s="41"/>
    </row>
    <row r="9" spans="1:13">
      <c r="A9" s="223">
        <v>226</v>
      </c>
      <c r="B9" s="223" t="s">
        <v>187</v>
      </c>
      <c r="C9" s="224">
        <v>14166</v>
      </c>
      <c r="D9" s="225">
        <v>45288</v>
      </c>
      <c r="E9" s="41"/>
    </row>
    <row r="10" spans="1:13">
      <c r="A10" s="223">
        <v>496</v>
      </c>
      <c r="B10" s="223" t="s">
        <v>193</v>
      </c>
      <c r="C10" s="224">
        <v>14336</v>
      </c>
      <c r="D10" s="225">
        <v>40577</v>
      </c>
      <c r="E10" s="41"/>
    </row>
    <row r="11" spans="1:13">
      <c r="A11" s="223">
        <v>265</v>
      </c>
      <c r="B11" s="223" t="s">
        <v>187</v>
      </c>
      <c r="C11" s="224">
        <v>17228</v>
      </c>
      <c r="D11" s="225">
        <v>36276</v>
      </c>
      <c r="E11" s="41"/>
    </row>
    <row r="12" spans="1:13">
      <c r="A12" s="223">
        <v>366</v>
      </c>
      <c r="B12" s="223" t="s">
        <v>473</v>
      </c>
      <c r="C12" s="224">
        <v>19212</v>
      </c>
      <c r="D12" s="225">
        <v>41377</v>
      </c>
      <c r="E12" s="41"/>
    </row>
    <row r="13" spans="1:13">
      <c r="A13" s="223">
        <v>756</v>
      </c>
      <c r="B13" s="223" t="s">
        <v>184</v>
      </c>
      <c r="C13" s="224">
        <v>20214</v>
      </c>
      <c r="D13" s="225">
        <v>36031</v>
      </c>
      <c r="E13" s="41"/>
    </row>
    <row r="14" spans="1:13">
      <c r="A14" s="223">
        <v>365</v>
      </c>
      <c r="B14" s="223" t="s">
        <v>472</v>
      </c>
      <c r="C14" s="224">
        <v>21778</v>
      </c>
      <c r="D14" s="225">
        <v>43320</v>
      </c>
      <c r="E14" s="41"/>
    </row>
    <row r="15" spans="1:13">
      <c r="A15" s="223">
        <v>513</v>
      </c>
      <c r="B15" s="223" t="s">
        <v>193</v>
      </c>
      <c r="C15" s="224">
        <v>22124</v>
      </c>
      <c r="D15" s="225">
        <v>40759</v>
      </c>
      <c r="E15" s="41"/>
    </row>
    <row r="16" spans="1:13">
      <c r="A16" s="223">
        <v>994</v>
      </c>
      <c r="B16" s="226" t="s">
        <v>471</v>
      </c>
      <c r="C16" s="227">
        <v>25009</v>
      </c>
      <c r="D16" s="225">
        <v>44983</v>
      </c>
      <c r="E16" s="41"/>
    </row>
    <row r="17" spans="1:13">
      <c r="A17" s="223">
        <v>910</v>
      </c>
      <c r="B17" s="223" t="s">
        <v>193</v>
      </c>
      <c r="C17" s="224">
        <v>25092</v>
      </c>
      <c r="D17" s="225">
        <v>44112</v>
      </c>
      <c r="E17" s="41"/>
    </row>
    <row r="18" spans="1:13">
      <c r="A18" s="223">
        <v>252</v>
      </c>
      <c r="B18" s="223" t="s">
        <v>187</v>
      </c>
      <c r="C18" s="224">
        <v>26161</v>
      </c>
      <c r="D18" s="225">
        <v>41068</v>
      </c>
      <c r="E18" s="41"/>
    </row>
    <row r="19" spans="1:13">
      <c r="A19" s="223">
        <v>22</v>
      </c>
      <c r="B19" s="223" t="s">
        <v>187</v>
      </c>
      <c r="C19" s="224">
        <v>26775</v>
      </c>
      <c r="D19" s="225">
        <v>42648</v>
      </c>
      <c r="E19" s="41"/>
      <c r="F19" s="221"/>
      <c r="G19" s="221"/>
      <c r="H19" s="221"/>
      <c r="I19" s="221"/>
      <c r="J19" s="221"/>
      <c r="K19" s="221"/>
      <c r="L19" s="221"/>
      <c r="M19" s="221"/>
    </row>
    <row r="20" spans="1:13">
      <c r="A20" s="223">
        <v>177</v>
      </c>
      <c r="B20" s="223" t="s">
        <v>184</v>
      </c>
      <c r="C20" s="224">
        <v>29379</v>
      </c>
      <c r="D20" s="225">
        <v>43932</v>
      </c>
      <c r="E20" s="41"/>
    </row>
    <row r="21" spans="1:13">
      <c r="A21" s="223">
        <v>342</v>
      </c>
      <c r="B21" s="223" t="s">
        <v>187</v>
      </c>
      <c r="C21" s="224">
        <v>29881</v>
      </c>
      <c r="D21" s="225">
        <v>37591</v>
      </c>
      <c r="E21" s="41"/>
    </row>
    <row r="22" spans="1:13">
      <c r="A22" s="223">
        <v>294</v>
      </c>
      <c r="B22" s="223" t="s">
        <v>193</v>
      </c>
      <c r="C22" s="224">
        <v>30154</v>
      </c>
      <c r="D22" s="225">
        <v>37854</v>
      </c>
      <c r="E22" s="41"/>
    </row>
    <row r="23" spans="1:13">
      <c r="A23" s="223">
        <v>964</v>
      </c>
      <c r="B23" s="223" t="s">
        <v>193</v>
      </c>
      <c r="C23" s="224">
        <v>31151</v>
      </c>
      <c r="D23" s="225">
        <v>36538</v>
      </c>
      <c r="E23" s="41"/>
    </row>
    <row r="24" spans="1:13">
      <c r="A24" s="223">
        <v>948</v>
      </c>
      <c r="B24" s="223" t="s">
        <v>193</v>
      </c>
      <c r="C24" s="224">
        <v>31265</v>
      </c>
      <c r="D24" s="225">
        <v>37606</v>
      </c>
      <c r="E24" s="41"/>
    </row>
    <row r="25" spans="1:13">
      <c r="A25" s="223">
        <v>969</v>
      </c>
      <c r="B25" s="223" t="s">
        <v>473</v>
      </c>
      <c r="C25" s="224">
        <v>36439</v>
      </c>
      <c r="D25" s="225">
        <v>40035</v>
      </c>
      <c r="E25" s="41"/>
    </row>
    <row r="26" spans="1:13">
      <c r="A26" s="223">
        <v>993</v>
      </c>
      <c r="B26" s="226" t="s">
        <v>471</v>
      </c>
      <c r="C26" s="227">
        <v>37000</v>
      </c>
      <c r="D26" s="225">
        <v>44972</v>
      </c>
      <c r="E26" s="41"/>
    </row>
    <row r="27" spans="1:13">
      <c r="A27" s="223">
        <v>384</v>
      </c>
      <c r="B27" s="223" t="s">
        <v>187</v>
      </c>
      <c r="C27" s="224">
        <v>37838</v>
      </c>
      <c r="D27" s="225">
        <v>39809</v>
      </c>
      <c r="E27" s="41"/>
    </row>
    <row r="28" spans="1:13">
      <c r="A28" s="223">
        <v>543</v>
      </c>
      <c r="B28" s="223" t="s">
        <v>184</v>
      </c>
      <c r="C28" s="224">
        <v>38448</v>
      </c>
      <c r="D28" s="225">
        <v>39859</v>
      </c>
      <c r="E28" s="41"/>
    </row>
    <row r="29" spans="1:13">
      <c r="A29" s="223">
        <v>712</v>
      </c>
      <c r="B29" s="223" t="s">
        <v>470</v>
      </c>
      <c r="C29" s="224">
        <v>39542</v>
      </c>
      <c r="D29" s="225">
        <v>37012</v>
      </c>
      <c r="E29" s="41"/>
      <c r="F29" s="221"/>
      <c r="G29" s="221"/>
      <c r="H29" s="221"/>
      <c r="I29" s="221"/>
      <c r="J29" s="221"/>
      <c r="K29" s="221"/>
      <c r="L29" s="221"/>
      <c r="M29" s="221"/>
    </row>
    <row r="30" spans="1:13">
      <c r="A30" s="223">
        <v>407</v>
      </c>
      <c r="B30" s="223" t="s">
        <v>184</v>
      </c>
      <c r="C30" s="224">
        <v>40548</v>
      </c>
      <c r="D30" s="225">
        <v>41800</v>
      </c>
      <c r="E30" s="41"/>
    </row>
    <row r="31" spans="1:13">
      <c r="A31" s="223">
        <v>152</v>
      </c>
      <c r="B31" s="223" t="s">
        <v>193</v>
      </c>
      <c r="C31" s="224">
        <v>40588</v>
      </c>
      <c r="D31" s="225">
        <v>39077</v>
      </c>
      <c r="E31" s="41"/>
    </row>
    <row r="32" spans="1:13">
      <c r="A32" s="223">
        <v>973</v>
      </c>
      <c r="B32" s="223" t="s">
        <v>193</v>
      </c>
      <c r="C32" s="224">
        <v>43068</v>
      </c>
      <c r="D32" s="225">
        <v>36876</v>
      </c>
      <c r="E32" s="41"/>
    </row>
    <row r="33" spans="1:13">
      <c r="A33" s="223">
        <v>992</v>
      </c>
      <c r="B33" s="226" t="s">
        <v>471</v>
      </c>
      <c r="C33" s="227">
        <v>43333</v>
      </c>
      <c r="D33" s="225">
        <v>44971</v>
      </c>
      <c r="E33" s="41"/>
    </row>
    <row r="34" spans="1:13">
      <c r="A34" s="223">
        <v>308</v>
      </c>
      <c r="B34" s="223" t="s">
        <v>184</v>
      </c>
      <c r="C34" s="224">
        <v>44124</v>
      </c>
      <c r="D34" s="225">
        <v>38624</v>
      </c>
      <c r="E34" s="41"/>
    </row>
    <row r="35" spans="1:13">
      <c r="A35" s="223">
        <v>166</v>
      </c>
      <c r="B35" s="223" t="s">
        <v>472</v>
      </c>
      <c r="C35" s="224">
        <v>44387</v>
      </c>
      <c r="D35" s="225">
        <v>39457</v>
      </c>
      <c r="E35" s="41"/>
    </row>
    <row r="36" spans="1:13">
      <c r="A36" s="223">
        <v>563</v>
      </c>
      <c r="B36" s="223" t="s">
        <v>184</v>
      </c>
      <c r="C36" s="224">
        <v>48666</v>
      </c>
      <c r="D36" s="225">
        <v>38070</v>
      </c>
      <c r="E36" s="41"/>
    </row>
    <row r="37" spans="1:13">
      <c r="A37" s="223">
        <v>919</v>
      </c>
      <c r="B37" s="223" t="s">
        <v>187</v>
      </c>
      <c r="C37" s="224">
        <v>51042</v>
      </c>
      <c r="D37" s="225">
        <v>43471</v>
      </c>
      <c r="E37" s="41"/>
      <c r="F37" s="221"/>
      <c r="G37" s="221"/>
      <c r="H37" s="221"/>
      <c r="I37" s="221"/>
      <c r="J37" s="221"/>
      <c r="K37" s="221"/>
      <c r="L37" s="221"/>
      <c r="M37" s="221"/>
    </row>
    <row r="38" spans="1:13">
      <c r="A38" s="223">
        <v>464</v>
      </c>
      <c r="B38" s="223" t="s">
        <v>193</v>
      </c>
      <c r="C38" s="224">
        <v>52566</v>
      </c>
      <c r="D38" s="225">
        <v>36561</v>
      </c>
      <c r="E38" s="41"/>
    </row>
    <row r="39" spans="1:13">
      <c r="A39" s="223">
        <v>744</v>
      </c>
      <c r="B39" s="223" t="s">
        <v>473</v>
      </c>
      <c r="C39" s="224">
        <v>55184</v>
      </c>
      <c r="D39" s="225">
        <v>40890</v>
      </c>
      <c r="E39" s="41"/>
    </row>
    <row r="40" spans="1:13">
      <c r="A40" s="223">
        <v>415</v>
      </c>
      <c r="B40" s="223" t="s">
        <v>184</v>
      </c>
      <c r="C40" s="224">
        <v>55910</v>
      </c>
      <c r="D40" s="225">
        <v>42614</v>
      </c>
      <c r="E40" s="41"/>
    </row>
    <row r="41" spans="1:13">
      <c r="A41" s="223">
        <v>580</v>
      </c>
      <c r="B41" s="223" t="s">
        <v>187</v>
      </c>
      <c r="C41" s="224">
        <v>59236</v>
      </c>
      <c r="D41" s="225">
        <v>41079</v>
      </c>
      <c r="E41" s="41"/>
    </row>
    <row r="42" spans="1:13">
      <c r="A42" s="223">
        <v>119</v>
      </c>
      <c r="B42" s="223" t="s">
        <v>470</v>
      </c>
      <c r="C42" s="224">
        <v>60674</v>
      </c>
      <c r="D42" s="225">
        <v>36992</v>
      </c>
      <c r="E42" s="41"/>
    </row>
    <row r="43" spans="1:13">
      <c r="A43" s="223">
        <v>797</v>
      </c>
      <c r="B43" s="223" t="s">
        <v>470</v>
      </c>
      <c r="C43" s="224">
        <v>62117</v>
      </c>
      <c r="D43" s="225">
        <v>37742</v>
      </c>
      <c r="E43" s="41"/>
    </row>
    <row r="44" spans="1:13">
      <c r="A44" s="223">
        <v>783</v>
      </c>
      <c r="B44" s="223" t="s">
        <v>193</v>
      </c>
      <c r="C44" s="224">
        <v>63570</v>
      </c>
      <c r="D44" s="225">
        <v>39116</v>
      </c>
      <c r="E44" s="41"/>
    </row>
    <row r="45" spans="1:13">
      <c r="B45" s="226"/>
      <c r="C45" s="227"/>
      <c r="D45" s="225"/>
    </row>
    <row r="46" spans="1:13">
      <c r="B46" s="226"/>
      <c r="C46" s="227"/>
      <c r="D46" s="225"/>
    </row>
    <row r="47" spans="1:13">
      <c r="B47" s="226"/>
      <c r="C47" s="227"/>
      <c r="D47" s="225"/>
    </row>
    <row r="48" spans="1:13">
      <c r="C48" s="227"/>
      <c r="D48" s="225"/>
    </row>
    <row r="49" spans="3:4">
      <c r="C49" s="227"/>
      <c r="D49" s="225"/>
    </row>
    <row r="50" spans="3:4">
      <c r="C50" s="227"/>
      <c r="D50" s="225"/>
    </row>
    <row r="51" spans="3:4">
      <c r="C51" s="227"/>
      <c r="D51" s="225"/>
    </row>
    <row r="52" spans="3:4">
      <c r="C52" s="227"/>
      <c r="D52" s="225"/>
    </row>
    <row r="53" spans="3:4">
      <c r="C53" s="227"/>
      <c r="D53" s="225"/>
    </row>
    <row r="54" spans="3:4">
      <c r="C54" s="227"/>
      <c r="D54" s="225"/>
    </row>
    <row r="55" spans="3:4">
      <c r="C55" s="227"/>
      <c r="D55" s="225"/>
    </row>
    <row r="56" spans="3:4">
      <c r="C56" s="227"/>
      <c r="D56" s="225"/>
    </row>
    <row r="57" spans="3:4">
      <c r="C57" s="227"/>
      <c r="D57" s="225"/>
    </row>
    <row r="58" spans="3:4">
      <c r="C58" s="227"/>
      <c r="D58" s="225"/>
    </row>
    <row r="59" spans="3:4">
      <c r="C59" s="227"/>
      <c r="D59" s="225"/>
    </row>
    <row r="60" spans="3:4">
      <c r="C60" s="227"/>
      <c r="D60" s="225"/>
    </row>
    <row r="61" spans="3:4">
      <c r="C61" s="227"/>
      <c r="D61" s="225"/>
    </row>
    <row r="62" spans="3:4">
      <c r="C62" s="227"/>
      <c r="D62" s="225"/>
    </row>
    <row r="63" spans="3:4">
      <c r="C63" s="227"/>
      <c r="D63" s="225"/>
    </row>
    <row r="64" spans="3:4">
      <c r="C64" s="227"/>
      <c r="D64" s="225"/>
    </row>
    <row r="65" spans="3:4">
      <c r="C65" s="227"/>
      <c r="D65" s="225"/>
    </row>
    <row r="66" spans="3:4">
      <c r="C66" s="227"/>
      <c r="D66" s="225"/>
    </row>
    <row r="67" spans="3:4">
      <c r="C67" s="227"/>
      <c r="D67" s="225"/>
    </row>
    <row r="68" spans="3:4">
      <c r="C68" s="227"/>
      <c r="D68" s="225"/>
    </row>
    <row r="69" spans="3:4">
      <c r="C69" s="227"/>
      <c r="D69" s="225"/>
    </row>
    <row r="70" spans="3:4">
      <c r="C70" s="227"/>
      <c r="D70" s="225"/>
    </row>
    <row r="71" spans="3:4">
      <c r="C71" s="227"/>
      <c r="D71" s="225"/>
    </row>
    <row r="72" spans="3:4">
      <c r="C72" s="227"/>
      <c r="D72" s="225"/>
    </row>
    <row r="73" spans="3:4">
      <c r="C73" s="227"/>
      <c r="D73" s="225"/>
    </row>
    <row r="74" spans="3:4">
      <c r="C74" s="227"/>
      <c r="D74" s="225"/>
    </row>
    <row r="75" spans="3:4">
      <c r="C75" s="227"/>
      <c r="D75" s="225"/>
    </row>
    <row r="76" spans="3:4">
      <c r="C76" s="227"/>
      <c r="D76" s="225"/>
    </row>
    <row r="77" spans="3:4">
      <c r="C77" s="227"/>
      <c r="D77" s="225"/>
    </row>
    <row r="78" spans="3:4">
      <c r="C78" s="227"/>
      <c r="D78" s="225"/>
    </row>
    <row r="79" spans="3:4">
      <c r="C79" s="227"/>
      <c r="D79" s="225"/>
    </row>
    <row r="80" spans="3:4">
      <c r="C80" s="227"/>
      <c r="D80" s="225"/>
    </row>
    <row r="81" spans="3:4">
      <c r="C81" s="227"/>
      <c r="D81" s="225"/>
    </row>
    <row r="82" spans="3:4">
      <c r="C82" s="227"/>
      <c r="D82" s="225"/>
    </row>
    <row r="83" spans="3:4">
      <c r="C83" s="227"/>
      <c r="D83" s="225"/>
    </row>
    <row r="84" spans="3:4">
      <c r="C84" s="227"/>
      <c r="D84" s="225"/>
    </row>
    <row r="85" spans="3:4">
      <c r="C85" s="227"/>
      <c r="D85" s="225"/>
    </row>
    <row r="86" spans="3:4">
      <c r="C86" s="227"/>
      <c r="D86" s="225"/>
    </row>
    <row r="87" spans="3:4">
      <c r="C87" s="227"/>
      <c r="D87" s="225"/>
    </row>
    <row r="88" spans="3:4">
      <c r="C88" s="227"/>
      <c r="D88" s="225"/>
    </row>
    <row r="89" spans="3:4">
      <c r="C89" s="227"/>
      <c r="D89" s="225"/>
    </row>
    <row r="90" spans="3:4">
      <c r="C90" s="227"/>
      <c r="D90" s="225"/>
    </row>
    <row r="91" spans="3:4">
      <c r="C91" s="227"/>
      <c r="D91" s="225"/>
    </row>
    <row r="92" spans="3:4">
      <c r="C92" s="227"/>
      <c r="D92" s="225"/>
    </row>
    <row r="93" spans="3:4">
      <c r="C93" s="227"/>
      <c r="D93" s="225"/>
    </row>
    <row r="94" spans="3:4">
      <c r="C94" s="227"/>
      <c r="D94" s="225"/>
    </row>
    <row r="95" spans="3:4">
      <c r="C95" s="227"/>
      <c r="D95" s="225"/>
    </row>
    <row r="96" spans="3:4">
      <c r="C96" s="227"/>
      <c r="D96" s="225"/>
    </row>
    <row r="97" spans="3:4">
      <c r="C97" s="227"/>
      <c r="D97" s="225"/>
    </row>
    <row r="98" spans="3:4">
      <c r="C98" s="227"/>
      <c r="D98" s="225"/>
    </row>
    <row r="99" spans="3:4">
      <c r="C99" s="227"/>
      <c r="D99" s="225"/>
    </row>
    <row r="100" spans="3:4">
      <c r="C100" s="227"/>
      <c r="D100" s="225"/>
    </row>
    <row r="101" spans="3:4">
      <c r="C101" s="227"/>
      <c r="D101" s="225"/>
    </row>
    <row r="102" spans="3:4">
      <c r="C102" s="227"/>
      <c r="D102" s="225"/>
    </row>
    <row r="103" spans="3:4">
      <c r="C103" s="227"/>
      <c r="D103" s="225"/>
    </row>
    <row r="104" spans="3:4">
      <c r="C104" s="227"/>
      <c r="D104" s="225"/>
    </row>
    <row r="105" spans="3:4">
      <c r="C105" s="227"/>
      <c r="D105" s="225"/>
    </row>
    <row r="106" spans="3:4">
      <c r="C106" s="227"/>
      <c r="D106" s="225"/>
    </row>
    <row r="107" spans="3:4">
      <c r="C107" s="227"/>
      <c r="D107" s="225"/>
    </row>
    <row r="108" spans="3:4">
      <c r="C108" s="227"/>
      <c r="D108" s="225"/>
    </row>
    <row r="109" spans="3:4">
      <c r="C109" s="227"/>
      <c r="D109" s="225"/>
    </row>
    <row r="110" spans="3:4">
      <c r="C110" s="227"/>
      <c r="D110" s="225"/>
    </row>
    <row r="111" spans="3:4">
      <c r="C111" s="227"/>
      <c r="D111" s="225"/>
    </row>
    <row r="112" spans="3:4">
      <c r="C112" s="227"/>
      <c r="D112" s="225"/>
    </row>
    <row r="113" spans="3:4">
      <c r="C113" s="227"/>
      <c r="D113" s="225"/>
    </row>
    <row r="114" spans="3:4">
      <c r="C114" s="227"/>
      <c r="D114" s="225"/>
    </row>
    <row r="115" spans="3:4">
      <c r="C115" s="227"/>
      <c r="D115" s="225"/>
    </row>
    <row r="116" spans="3:4">
      <c r="C116" s="227"/>
      <c r="D116" s="225"/>
    </row>
    <row r="117" spans="3:4">
      <c r="C117" s="227"/>
      <c r="D117" s="225"/>
    </row>
    <row r="118" spans="3:4">
      <c r="C118" s="227"/>
      <c r="D118" s="225"/>
    </row>
    <row r="119" spans="3:4">
      <c r="C119" s="227"/>
      <c r="D119" s="225"/>
    </row>
    <row r="120" spans="3:4">
      <c r="C120" s="227"/>
      <c r="D120" s="225"/>
    </row>
    <row r="121" spans="3:4">
      <c r="C121" s="227"/>
      <c r="D121" s="225"/>
    </row>
    <row r="122" spans="3:4">
      <c r="C122" s="227"/>
      <c r="D122" s="225"/>
    </row>
    <row r="123" spans="3:4">
      <c r="C123" s="227"/>
      <c r="D123" s="225"/>
    </row>
    <row r="124" spans="3:4">
      <c r="C124" s="227"/>
      <c r="D124" s="225"/>
    </row>
    <row r="125" spans="3:4">
      <c r="C125" s="227"/>
      <c r="D125" s="225"/>
    </row>
    <row r="126" spans="3:4">
      <c r="C126" s="227"/>
      <c r="D126" s="225"/>
    </row>
    <row r="127" spans="3:4">
      <c r="C127" s="227"/>
      <c r="D127" s="225"/>
    </row>
    <row r="128" spans="3:4">
      <c r="C128" s="227"/>
      <c r="D128" s="225"/>
    </row>
    <row r="129" spans="3:4">
      <c r="C129" s="227"/>
      <c r="D129" s="225"/>
    </row>
    <row r="130" spans="3:4">
      <c r="C130" s="227"/>
      <c r="D130" s="225"/>
    </row>
    <row r="131" spans="3:4">
      <c r="C131" s="227"/>
      <c r="D131" s="225"/>
    </row>
    <row r="132" spans="3:4">
      <c r="C132" s="227"/>
      <c r="D132" s="225"/>
    </row>
    <row r="133" spans="3:4">
      <c r="C133" s="227"/>
      <c r="D133" s="225"/>
    </row>
    <row r="134" spans="3:4">
      <c r="C134" s="227"/>
      <c r="D134" s="225"/>
    </row>
    <row r="135" spans="3:4">
      <c r="C135" s="227"/>
      <c r="D135" s="225"/>
    </row>
    <row r="136" spans="3:4">
      <c r="C136" s="227"/>
      <c r="D136" s="225"/>
    </row>
    <row r="137" spans="3:4">
      <c r="C137" s="227"/>
      <c r="D137" s="225"/>
    </row>
    <row r="138" spans="3:4">
      <c r="C138" s="227"/>
      <c r="D138" s="225"/>
    </row>
    <row r="139" spans="3:4">
      <c r="C139" s="227"/>
      <c r="D139" s="225"/>
    </row>
    <row r="140" spans="3:4">
      <c r="C140" s="227"/>
      <c r="D140" s="225"/>
    </row>
    <row r="141" spans="3:4">
      <c r="C141" s="227"/>
      <c r="D141" s="225"/>
    </row>
    <row r="142" spans="3:4">
      <c r="C142" s="227"/>
      <c r="D142" s="225"/>
    </row>
    <row r="143" spans="3:4">
      <c r="C143" s="227"/>
      <c r="D143" s="225"/>
    </row>
    <row r="144" spans="3:4">
      <c r="C144" s="227"/>
      <c r="D144" s="225"/>
    </row>
    <row r="145" spans="3:4">
      <c r="C145" s="227"/>
      <c r="D145" s="225"/>
    </row>
    <row r="146" spans="3:4">
      <c r="C146" s="227"/>
      <c r="D146" s="225"/>
    </row>
    <row r="147" spans="3:4">
      <c r="C147" s="227"/>
      <c r="D147" s="225"/>
    </row>
    <row r="148" spans="3:4">
      <c r="C148" s="227"/>
      <c r="D148" s="225"/>
    </row>
    <row r="149" spans="3:4">
      <c r="C149" s="227"/>
      <c r="D149" s="225"/>
    </row>
    <row r="150" spans="3:4">
      <c r="C150" s="227"/>
      <c r="D150" s="225"/>
    </row>
    <row r="151" spans="3:4">
      <c r="C151" s="227"/>
      <c r="D151" s="225"/>
    </row>
    <row r="152" spans="3:4">
      <c r="C152" s="227"/>
      <c r="D152" s="225"/>
    </row>
    <row r="153" spans="3:4">
      <c r="C153" s="227"/>
      <c r="D153" s="225"/>
    </row>
    <row r="154" spans="3:4">
      <c r="C154" s="227"/>
      <c r="D154" s="225"/>
    </row>
    <row r="155" spans="3:4">
      <c r="C155" s="227"/>
      <c r="D155" s="225"/>
    </row>
    <row r="156" spans="3:4">
      <c r="C156" s="227"/>
      <c r="D156" s="225"/>
    </row>
    <row r="157" spans="3:4">
      <c r="C157" s="227"/>
      <c r="D157" s="225"/>
    </row>
    <row r="158" spans="3:4">
      <c r="C158" s="227"/>
      <c r="D158" s="225"/>
    </row>
    <row r="159" spans="3:4">
      <c r="C159" s="227"/>
      <c r="D159" s="225"/>
    </row>
    <row r="160" spans="3:4">
      <c r="C160" s="227"/>
      <c r="D160" s="225"/>
    </row>
  </sheetData>
  <autoFilter ref="A1:E44" xr:uid="{00000000-0001-0000-0400-000000000000}"/>
  <conditionalFormatting sqref="A1:A16 A19:A42">
    <cfRule type="duplicateValues" dxfId="2" priority="2" stopIfTrue="1"/>
  </conditionalFormatting>
  <conditionalFormatting sqref="A17:A18 A43:A1048576">
    <cfRule type="duplicateValues" dxfId="1" priority="1" stopIfTrue="1"/>
  </conditionalFormatting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CBC9-6068-424E-BCB1-FE13E214E526}">
  <sheetPr>
    <tabColor theme="7" tint="0.39997558519241921"/>
  </sheetPr>
  <dimension ref="A1:X38"/>
  <sheetViews>
    <sheetView zoomScaleNormal="100" workbookViewId="0">
      <selection activeCell="A18" sqref="A18"/>
    </sheetView>
  </sheetViews>
  <sheetFormatPr defaultColWidth="9.26953125" defaultRowHeight="14.5"/>
  <cols>
    <col min="1" max="1" width="17.26953125" style="76" bestFit="1" customWidth="1"/>
    <col min="2" max="2" width="10.26953125" style="76" customWidth="1"/>
    <col min="3" max="3" width="10.7265625" style="76" customWidth="1"/>
    <col min="4" max="5" width="9.26953125" style="76" bestFit="1" customWidth="1"/>
    <col min="6" max="7" width="9.26953125" style="193" bestFit="1" customWidth="1"/>
    <col min="8" max="8" width="9.26953125" style="76" bestFit="1" customWidth="1"/>
    <col min="9" max="9" width="11.54296875" style="76" customWidth="1"/>
    <col min="10" max="11" width="9.26953125" style="76" bestFit="1" customWidth="1"/>
    <col min="12" max="12" width="10.26953125" style="76" bestFit="1" customWidth="1"/>
    <col min="13" max="14" width="9.26953125" style="76" bestFit="1" customWidth="1"/>
    <col min="15" max="15" width="10.26953125" style="76" bestFit="1" customWidth="1"/>
    <col min="16" max="16" width="10" style="76" bestFit="1" customWidth="1"/>
    <col min="17" max="17" width="9" style="76" bestFit="1" customWidth="1"/>
    <col min="18" max="18" width="8.7265625" style="76" bestFit="1" customWidth="1"/>
    <col min="19" max="19" width="4.1796875" style="76" bestFit="1" customWidth="1"/>
    <col min="20" max="20" width="9.7265625" style="76" customWidth="1"/>
    <col min="21" max="21" width="9" style="76" bestFit="1" customWidth="1"/>
    <col min="22" max="16384" width="9.26953125" style="76"/>
  </cols>
  <sheetData>
    <row r="1" spans="1:24" ht="18.5">
      <c r="A1" s="186" t="s">
        <v>452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</row>
    <row r="3" spans="1:24">
      <c r="A3" s="187" t="e">
        <v>#NAME?</v>
      </c>
      <c r="C3" s="187" t="e">
        <v>#VALUE!</v>
      </c>
      <c r="E3" s="261" t="e">
        <v>#REF!</v>
      </c>
      <c r="F3" s="261"/>
      <c r="G3" s="261"/>
      <c r="I3" s="188" t="s">
        <v>453</v>
      </c>
      <c r="K3" s="261" t="e">
        <v>#DIV/0!</v>
      </c>
      <c r="L3" s="261"/>
      <c r="M3" s="261"/>
      <c r="O3" s="187" t="e">
        <v>#N/A</v>
      </c>
      <c r="R3" s="187" t="e">
        <v>#NULL!</v>
      </c>
    </row>
    <row r="4" spans="1:24">
      <c r="C4" s="41"/>
      <c r="E4" s="189" t="s">
        <v>454</v>
      </c>
      <c r="F4" s="189" t="s">
        <v>455</v>
      </c>
      <c r="G4" s="189" t="s">
        <v>410</v>
      </c>
      <c r="R4" s="189" t="s">
        <v>456</v>
      </c>
      <c r="S4" s="189" t="s">
        <v>455</v>
      </c>
    </row>
    <row r="5" spans="1:24">
      <c r="A5" s="76">
        <v>232</v>
      </c>
      <c r="C5" s="190">
        <v>17</v>
      </c>
      <c r="E5" s="191">
        <v>45522</v>
      </c>
      <c r="F5" s="191">
        <v>78787</v>
      </c>
      <c r="G5" s="192">
        <f>E5+F5+'[1]Last Year'!D2</f>
        <v>145009</v>
      </c>
      <c r="H5" s="193"/>
      <c r="I5" s="194">
        <v>5435435</v>
      </c>
      <c r="K5" s="76" t="s">
        <v>457</v>
      </c>
      <c r="L5" s="76" t="s">
        <v>458</v>
      </c>
      <c r="M5" s="76" t="s">
        <v>459</v>
      </c>
      <c r="O5" s="148" t="s">
        <v>416</v>
      </c>
      <c r="P5" s="146" t="str">
        <f>B17</f>
        <v>Brought Fwd</v>
      </c>
      <c r="Q5" s="41"/>
      <c r="R5" s="76">
        <v>232</v>
      </c>
      <c r="S5" s="76">
        <v>232</v>
      </c>
    </row>
    <row r="6" spans="1:24">
      <c r="A6" s="76">
        <v>121</v>
      </c>
      <c r="C6" s="190">
        <v>5</v>
      </c>
      <c r="E6" s="191">
        <v>45543</v>
      </c>
      <c r="F6" s="191">
        <v>7878</v>
      </c>
      <c r="G6" s="192">
        <f>E6+F6+'[1]Last Year'!D3</f>
        <v>53761</v>
      </c>
      <c r="H6" s="193"/>
      <c r="I6" s="195">
        <f>-12/4/16</f>
        <v>-0.1875</v>
      </c>
      <c r="K6" s="194">
        <v>2323</v>
      </c>
      <c r="L6" s="189">
        <v>4</v>
      </c>
      <c r="M6" s="194">
        <f t="shared" ref="M6:M10" si="0">K6/L6</f>
        <v>580.75</v>
      </c>
      <c r="O6" s="149" t="s">
        <v>417</v>
      </c>
      <c r="P6" s="196">
        <f>VLOOKUP(O6,'[1]Last Year'!$C$1:$D$14,2,0)</f>
        <v>231</v>
      </c>
      <c r="R6" s="76">
        <v>121</v>
      </c>
      <c r="S6" s="76">
        <v>121</v>
      </c>
    </row>
    <row r="7" spans="1:24">
      <c r="A7" s="76">
        <v>232</v>
      </c>
      <c r="C7" s="41" t="s">
        <v>460</v>
      </c>
      <c r="E7" s="191">
        <v>45564</v>
      </c>
      <c r="F7" s="191">
        <v>78786</v>
      </c>
      <c r="G7" s="192">
        <f>E7+F7+'[1]Last Year'!D4</f>
        <v>124360</v>
      </c>
      <c r="H7" s="193"/>
      <c r="K7" s="194">
        <v>3433</v>
      </c>
      <c r="L7" s="189">
        <v>4</v>
      </c>
      <c r="M7" s="194">
        <f t="shared" si="0"/>
        <v>858.25</v>
      </c>
      <c r="O7" s="149" t="s">
        <v>418</v>
      </c>
      <c r="P7" s="196">
        <f>VLOOKUP(O7,'[1]Last Year'!$C$1:$D$14,2,0)</f>
        <v>233</v>
      </c>
      <c r="R7" s="76">
        <v>232</v>
      </c>
      <c r="S7" s="76">
        <v>232</v>
      </c>
    </row>
    <row r="8" spans="1:24" ht="15" thickBot="1">
      <c r="A8" s="197" t="e" cm="1">
        <f t="array" ref="A8">SUM</f>
        <v>#NAME?</v>
      </c>
      <c r="C8" s="198" t="e">
        <f>C5+C6+C7</f>
        <v>#VALUE!</v>
      </c>
      <c r="F8" s="76"/>
      <c r="G8" s="76"/>
      <c r="H8" s="193"/>
      <c r="I8" s="88"/>
      <c r="K8" s="194">
        <v>3433</v>
      </c>
      <c r="L8" s="189">
        <v>3</v>
      </c>
      <c r="M8" s="194">
        <f t="shared" si="0"/>
        <v>1144.3333333333333</v>
      </c>
      <c r="O8" s="149" t="s">
        <v>419</v>
      </c>
      <c r="P8" s="196">
        <f>VLOOKUP(O8,'[1]Last Year'!$C$1:$D$14,2,0)</f>
        <v>12</v>
      </c>
      <c r="R8" s="197" t="e">
        <f>SUM(R5 R7)</f>
        <v>#NULL!</v>
      </c>
      <c r="S8" s="197"/>
    </row>
    <row r="9" spans="1:24" ht="15" thickTop="1">
      <c r="F9" s="76"/>
      <c r="H9" s="193"/>
      <c r="K9" s="194">
        <v>3433</v>
      </c>
      <c r="L9" s="189"/>
      <c r="M9" s="194" t="e">
        <f t="shared" si="0"/>
        <v>#DIV/0!</v>
      </c>
      <c r="O9" s="149" t="s">
        <v>420</v>
      </c>
      <c r="P9" s="196">
        <f>VLOOKUP(O9,'[1]Last Year'!$C$1:$D$14,2,0)</f>
        <v>32</v>
      </c>
    </row>
    <row r="10" spans="1:24" ht="15" thickBot="1">
      <c r="F10" s="76"/>
      <c r="H10" s="193"/>
      <c r="K10" s="194">
        <v>3433</v>
      </c>
      <c r="L10" s="189"/>
      <c r="M10" s="194" t="e">
        <f t="shared" si="0"/>
        <v>#DIV/0!</v>
      </c>
      <c r="O10" s="149" t="s">
        <v>421</v>
      </c>
      <c r="P10" s="196" t="e">
        <f>VLOOKUP(O10,'[1]Last Year'!$C$1:$D$14,2,0)</f>
        <v>#N/A</v>
      </c>
      <c r="R10" s="199" t="e">
        <f>SUM(R5:R7 S5:S7)</f>
        <v>#NULL!</v>
      </c>
    </row>
    <row r="11" spans="1:24" ht="15" thickTop="1">
      <c r="F11" s="76"/>
      <c r="H11" s="193"/>
      <c r="L11" s="189"/>
      <c r="M11" s="194"/>
      <c r="O11" s="149" t="s">
        <v>422</v>
      </c>
      <c r="P11" s="196">
        <f>VLOOKUP(O11,'[1]Last Year'!$C$1:$D$14,2,0)</f>
        <v>55</v>
      </c>
    </row>
    <row r="12" spans="1:24">
      <c r="F12" s="76"/>
      <c r="H12" s="193"/>
      <c r="O12" s="149" t="s">
        <v>423</v>
      </c>
      <c r="P12" s="196">
        <f>VLOOKUP(O12,'[1]Last Year'!$C$1:$D$14,2,0)</f>
        <v>6666</v>
      </c>
    </row>
    <row r="14" spans="1:24">
      <c r="A14" s="200"/>
      <c r="B14" s="200"/>
      <c r="C14" s="200"/>
      <c r="D14" s="200"/>
      <c r="E14" s="200"/>
      <c r="F14" s="201"/>
      <c r="G14" s="201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</row>
    <row r="15" spans="1:24" ht="18.5">
      <c r="A15" s="262" t="s">
        <v>461</v>
      </c>
      <c r="B15" s="262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186"/>
      <c r="T15" s="186"/>
      <c r="U15" s="186"/>
    </row>
    <row r="16" spans="1:24" ht="18.5">
      <c r="A16" s="202"/>
      <c r="B16" s="202"/>
      <c r="C16" s="202"/>
      <c r="D16" s="202"/>
      <c r="E16" s="202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</row>
    <row r="17" spans="1:16">
      <c r="A17" s="144"/>
      <c r="B17" s="146" t="s">
        <v>462</v>
      </c>
      <c r="C17" s="145" t="s">
        <v>401</v>
      </c>
      <c r="D17" s="145" t="s">
        <v>402</v>
      </c>
      <c r="E17" s="145" t="s">
        <v>403</v>
      </c>
      <c r="F17" s="145" t="s">
        <v>404</v>
      </c>
      <c r="G17" s="145" t="s">
        <v>405</v>
      </c>
      <c r="H17" s="145" t="s">
        <v>406</v>
      </c>
      <c r="I17" s="145" t="s">
        <v>407</v>
      </c>
      <c r="J17" s="145" t="s">
        <v>408</v>
      </c>
      <c r="K17" s="145" t="s">
        <v>409</v>
      </c>
      <c r="L17" s="145" t="s">
        <v>9</v>
      </c>
      <c r="M17" s="145" t="s">
        <v>10</v>
      </c>
      <c r="N17" s="145" t="s">
        <v>11</v>
      </c>
      <c r="O17" s="146" t="s">
        <v>410</v>
      </c>
      <c r="P17" s="147" t="s">
        <v>411</v>
      </c>
    </row>
    <row r="18" spans="1:16">
      <c r="A18" s="203" t="s">
        <v>412</v>
      </c>
      <c r="B18" s="180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5"/>
      <c r="P18" s="153" t="e">
        <f t="shared" ref="P18:P33" si="1">AVERAGE(C18:N18)</f>
        <v>#DIV/0!</v>
      </c>
    </row>
    <row r="19" spans="1:16">
      <c r="A19" s="149" t="s">
        <v>413</v>
      </c>
      <c r="B19" s="196">
        <f>'[1]Last Year'!D2</f>
        <v>20700</v>
      </c>
      <c r="C19" s="206">
        <v>2700</v>
      </c>
      <c r="D19" s="207" t="s">
        <v>463</v>
      </c>
      <c r="E19" s="206">
        <v>2000</v>
      </c>
      <c r="F19" s="206">
        <v>2500</v>
      </c>
      <c r="G19" s="206">
        <v>2500</v>
      </c>
      <c r="H19" s="206">
        <v>2500</v>
      </c>
      <c r="I19" s="206">
        <v>2500</v>
      </c>
      <c r="J19" s="206">
        <v>2500</v>
      </c>
      <c r="K19" s="206">
        <v>2500</v>
      </c>
      <c r="L19" s="206">
        <v>3000</v>
      </c>
      <c r="M19" s="206">
        <v>3000</v>
      </c>
      <c r="N19" s="206">
        <v>3000</v>
      </c>
      <c r="O19" s="208">
        <f>SUM(C19:N19)</f>
        <v>28700</v>
      </c>
      <c r="P19" s="153">
        <f t="shared" si="1"/>
        <v>2609.090909090909</v>
      </c>
    </row>
    <row r="20" spans="1:16">
      <c r="A20" s="149" t="s">
        <v>414</v>
      </c>
      <c r="B20" s="196">
        <f>'[1]Last Year'!D3</f>
        <v>340</v>
      </c>
      <c r="C20" s="206">
        <v>695</v>
      </c>
      <c r="D20" s="206">
        <v>695</v>
      </c>
      <c r="E20" s="206">
        <v>695</v>
      </c>
      <c r="F20" s="206">
        <v>695</v>
      </c>
      <c r="G20" s="206">
        <v>695</v>
      </c>
      <c r="H20" s="206">
        <v>695</v>
      </c>
      <c r="I20" s="206">
        <v>695</v>
      </c>
      <c r="J20" s="206">
        <v>695</v>
      </c>
      <c r="K20" s="206">
        <v>695</v>
      </c>
      <c r="L20" s="206">
        <v>695</v>
      </c>
      <c r="M20" s="206">
        <v>695</v>
      </c>
      <c r="N20" s="206">
        <v>695</v>
      </c>
      <c r="O20" s="208">
        <f>SUM(C20:N20)</f>
        <v>8340</v>
      </c>
      <c r="P20" s="153">
        <v>695</v>
      </c>
    </row>
    <row r="21" spans="1:16">
      <c r="A21" s="149" t="s">
        <v>415</v>
      </c>
      <c r="B21" s="196">
        <f>'[1]Last Year'!D4</f>
        <v>10</v>
      </c>
      <c r="C21" s="206"/>
      <c r="D21" s="206"/>
      <c r="E21" s="206"/>
      <c r="F21" s="206"/>
      <c r="G21" s="206">
        <v>1060</v>
      </c>
      <c r="H21" s="206">
        <v>800</v>
      </c>
      <c r="I21" s="206">
        <v>1050</v>
      </c>
      <c r="J21" s="206">
        <v>1050</v>
      </c>
      <c r="K21" s="206">
        <v>1050</v>
      </c>
      <c r="L21" s="206"/>
      <c r="M21" s="206"/>
      <c r="N21" s="206"/>
      <c r="O21" s="208">
        <f>SUM(C21:N21)</f>
        <v>5010</v>
      </c>
      <c r="P21" s="153">
        <f t="shared" si="1"/>
        <v>1002</v>
      </c>
    </row>
    <row r="22" spans="1:16">
      <c r="A22" s="148" t="s">
        <v>410</v>
      </c>
      <c r="B22" s="209">
        <f>'[1]Last Year'!D5</f>
        <v>21050</v>
      </c>
      <c r="C22" s="210">
        <f>SUM(C19:C20)</f>
        <v>3395</v>
      </c>
      <c r="D22" s="210">
        <f>SUM(D19:D20)</f>
        <v>695</v>
      </c>
      <c r="E22" s="210">
        <f t="shared" ref="E22:N22" si="2">SUM(E19:E20)</f>
        <v>2695</v>
      </c>
      <c r="F22" s="210">
        <f t="shared" si="2"/>
        <v>3195</v>
      </c>
      <c r="G22" s="210">
        <f>SUM(G19:G20)</f>
        <v>3195</v>
      </c>
      <c r="H22" s="210">
        <f t="shared" si="2"/>
        <v>3195</v>
      </c>
      <c r="I22" s="210">
        <f t="shared" si="2"/>
        <v>3195</v>
      </c>
      <c r="J22" s="210">
        <f t="shared" si="2"/>
        <v>3195</v>
      </c>
      <c r="K22" s="210">
        <f t="shared" si="2"/>
        <v>3195</v>
      </c>
      <c r="L22" s="210">
        <f t="shared" si="2"/>
        <v>3695</v>
      </c>
      <c r="M22" s="210">
        <f t="shared" si="2"/>
        <v>3695</v>
      </c>
      <c r="N22" s="210">
        <f t="shared" si="2"/>
        <v>3695</v>
      </c>
      <c r="O22" s="211">
        <f>SUM(O19:O21)</f>
        <v>42050</v>
      </c>
      <c r="P22" s="212">
        <f t="shared" si="1"/>
        <v>3086.6666666666665</v>
      </c>
    </row>
    <row r="23" spans="1:16">
      <c r="A23" s="213" t="s">
        <v>416</v>
      </c>
      <c r="B23" s="180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8"/>
      <c r="P23" s="153" t="e">
        <f t="shared" si="1"/>
        <v>#DIV/0!</v>
      </c>
    </row>
    <row r="24" spans="1:16">
      <c r="A24" s="149" t="s">
        <v>417</v>
      </c>
      <c r="B24" s="196">
        <f>'[1]Last Year'!D6</f>
        <v>231</v>
      </c>
      <c r="C24" s="206">
        <v>233</v>
      </c>
      <c r="D24" s="206">
        <v>443</v>
      </c>
      <c r="E24" s="206">
        <v>23</v>
      </c>
      <c r="F24" s="206">
        <v>100</v>
      </c>
      <c r="G24" s="206">
        <v>232</v>
      </c>
      <c r="H24" s="206">
        <v>224</v>
      </c>
      <c r="I24" s="206">
        <v>105</v>
      </c>
      <c r="J24" s="206">
        <v>333</v>
      </c>
      <c r="K24" s="206">
        <v>235</v>
      </c>
      <c r="L24" s="206">
        <v>572</v>
      </c>
      <c r="M24" s="206">
        <v>322</v>
      </c>
      <c r="N24" s="206">
        <v>24</v>
      </c>
      <c r="O24" s="208">
        <f t="shared" ref="O24:O32" si="3">SUM(C24:N24)</f>
        <v>2846</v>
      </c>
      <c r="P24" s="153">
        <f t="shared" si="1"/>
        <v>237.16666666666666</v>
      </c>
    </row>
    <row r="25" spans="1:16">
      <c r="A25" s="149" t="s">
        <v>418</v>
      </c>
      <c r="B25" s="196">
        <f>'[1]Last Year'!D7</f>
        <v>233</v>
      </c>
      <c r="C25" s="206">
        <v>12</v>
      </c>
      <c r="D25" s="206">
        <v>10</v>
      </c>
      <c r="E25" s="206">
        <v>12</v>
      </c>
      <c r="F25" s="206">
        <v>12</v>
      </c>
      <c r="G25" s="206">
        <v>11</v>
      </c>
      <c r="H25" s="206">
        <v>11</v>
      </c>
      <c r="I25" s="206">
        <v>11</v>
      </c>
      <c r="J25" s="206">
        <v>11</v>
      </c>
      <c r="K25" s="206">
        <v>10</v>
      </c>
      <c r="L25" s="206">
        <v>10</v>
      </c>
      <c r="M25" s="206">
        <v>10</v>
      </c>
      <c r="N25" s="206">
        <v>10</v>
      </c>
      <c r="O25" s="208">
        <f t="shared" si="3"/>
        <v>130</v>
      </c>
      <c r="P25" s="153">
        <f t="shared" si="1"/>
        <v>10.833333333333334</v>
      </c>
    </row>
    <row r="26" spans="1:16">
      <c r="A26" s="149" t="s">
        <v>419</v>
      </c>
      <c r="B26" s="196">
        <f>'[1]Last Year'!D8</f>
        <v>12</v>
      </c>
      <c r="C26" s="206">
        <v>11</v>
      </c>
      <c r="D26" s="206">
        <v>12</v>
      </c>
      <c r="E26" s="206">
        <v>1</v>
      </c>
      <c r="F26" s="206">
        <v>33</v>
      </c>
      <c r="G26" s="206"/>
      <c r="H26" s="206"/>
      <c r="I26" s="206">
        <v>11</v>
      </c>
      <c r="J26" s="206">
        <v>22</v>
      </c>
      <c r="K26" s="206">
        <v>12</v>
      </c>
      <c r="L26" s="206"/>
      <c r="M26" s="206">
        <v>3</v>
      </c>
      <c r="N26" s="206">
        <v>4</v>
      </c>
      <c r="O26" s="208">
        <f t="shared" si="3"/>
        <v>109</v>
      </c>
      <c r="P26" s="153">
        <f t="shared" si="1"/>
        <v>12.111111111111111</v>
      </c>
    </row>
    <row r="27" spans="1:16">
      <c r="A27" s="149" t="s">
        <v>420</v>
      </c>
      <c r="B27" s="196">
        <f>'[1]Last Year'!D9</f>
        <v>32</v>
      </c>
      <c r="C27" s="206">
        <v>34</v>
      </c>
      <c r="D27" s="206">
        <v>34</v>
      </c>
      <c r="E27" s="206">
        <v>34</v>
      </c>
      <c r="F27" s="206">
        <v>34</v>
      </c>
      <c r="G27" s="206">
        <v>34</v>
      </c>
      <c r="H27" s="206">
        <v>34</v>
      </c>
      <c r="I27" s="206">
        <v>34</v>
      </c>
      <c r="J27" s="206">
        <v>34</v>
      </c>
      <c r="K27" s="206">
        <v>34</v>
      </c>
      <c r="L27" s="206">
        <v>34</v>
      </c>
      <c r="M27" s="206">
        <v>34</v>
      </c>
      <c r="N27" s="206">
        <v>34</v>
      </c>
      <c r="O27" s="208">
        <f t="shared" si="3"/>
        <v>408</v>
      </c>
      <c r="P27" s="153">
        <f t="shared" si="1"/>
        <v>34</v>
      </c>
    </row>
    <row r="28" spans="1:16">
      <c r="A28" s="149" t="s">
        <v>421</v>
      </c>
      <c r="B28" s="196">
        <f>'[1]Last Year'!D10</f>
        <v>689</v>
      </c>
      <c r="C28" s="206">
        <v>69</v>
      </c>
      <c r="D28" s="206">
        <v>69</v>
      </c>
      <c r="E28" s="206">
        <v>69</v>
      </c>
      <c r="F28" s="206">
        <v>69</v>
      </c>
      <c r="G28" s="206">
        <v>55</v>
      </c>
      <c r="H28" s="206">
        <v>75</v>
      </c>
      <c r="I28" s="206">
        <v>75</v>
      </c>
      <c r="J28" s="206">
        <v>75</v>
      </c>
      <c r="K28" s="206">
        <v>75</v>
      </c>
      <c r="L28" s="206">
        <v>70</v>
      </c>
      <c r="M28" s="206">
        <v>70</v>
      </c>
      <c r="N28" s="206">
        <v>70</v>
      </c>
      <c r="O28" s="208">
        <f t="shared" si="3"/>
        <v>841</v>
      </c>
      <c r="P28" s="153">
        <f t="shared" si="1"/>
        <v>70.083333333333329</v>
      </c>
    </row>
    <row r="29" spans="1:16">
      <c r="A29" s="149" t="s">
        <v>422</v>
      </c>
      <c r="B29" s="196">
        <f>'[1]Last Year'!D11</f>
        <v>55</v>
      </c>
      <c r="C29" s="206"/>
      <c r="D29" s="206"/>
      <c r="E29" s="206"/>
      <c r="F29" s="206"/>
      <c r="G29" s="206"/>
      <c r="H29" s="206"/>
      <c r="I29" s="206"/>
      <c r="J29" s="206"/>
      <c r="K29" s="206">
        <v>147</v>
      </c>
      <c r="L29" s="206"/>
      <c r="M29" s="206"/>
      <c r="N29" s="206"/>
      <c r="O29" s="208">
        <f t="shared" si="3"/>
        <v>147</v>
      </c>
      <c r="P29" s="153">
        <f t="shared" si="1"/>
        <v>147</v>
      </c>
    </row>
    <row r="30" spans="1:16">
      <c r="A30" s="149" t="s">
        <v>423</v>
      </c>
      <c r="B30" s="196">
        <f>'[1]Last Year'!D12</f>
        <v>6666</v>
      </c>
      <c r="C30" s="206">
        <v>1000</v>
      </c>
      <c r="D30" s="206">
        <v>1000</v>
      </c>
      <c r="E30" s="206">
        <v>1000</v>
      </c>
      <c r="F30" s="206">
        <v>1000</v>
      </c>
      <c r="G30" s="206">
        <v>1000</v>
      </c>
      <c r="H30" s="206">
        <v>1000</v>
      </c>
      <c r="I30" s="206">
        <v>1000</v>
      </c>
      <c r="J30" s="206">
        <v>1000</v>
      </c>
      <c r="K30" s="206">
        <v>1000</v>
      </c>
      <c r="L30" s="206">
        <v>1000</v>
      </c>
      <c r="M30" s="206">
        <v>1000</v>
      </c>
      <c r="N30" s="206">
        <v>1000</v>
      </c>
      <c r="O30" s="208">
        <f t="shared" si="3"/>
        <v>12000</v>
      </c>
      <c r="P30" s="153">
        <f t="shared" si="1"/>
        <v>1000</v>
      </c>
    </row>
    <row r="31" spans="1:16">
      <c r="A31" s="149" t="s">
        <v>424</v>
      </c>
      <c r="B31" s="196">
        <f>'[1]Last Year'!D13</f>
        <v>4533</v>
      </c>
      <c r="C31" s="206">
        <v>2000</v>
      </c>
      <c r="D31" s="206">
        <v>2000</v>
      </c>
      <c r="E31" s="206">
        <v>2000</v>
      </c>
      <c r="F31" s="206">
        <v>2000</v>
      </c>
      <c r="G31" s="206">
        <v>2000</v>
      </c>
      <c r="H31" s="206">
        <v>2000</v>
      </c>
      <c r="I31" s="206">
        <v>2000</v>
      </c>
      <c r="J31" s="206">
        <v>2000</v>
      </c>
      <c r="K31" s="206">
        <v>2000</v>
      </c>
      <c r="L31" s="206">
        <v>2000</v>
      </c>
      <c r="M31" s="206">
        <v>2000</v>
      </c>
      <c r="N31" s="206">
        <v>2000</v>
      </c>
      <c r="O31" s="208">
        <f t="shared" si="3"/>
        <v>24000</v>
      </c>
      <c r="P31" s="153">
        <f t="shared" si="1"/>
        <v>2000</v>
      </c>
    </row>
    <row r="32" spans="1:16">
      <c r="A32" s="214"/>
      <c r="B32" s="193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08">
        <f t="shared" si="3"/>
        <v>0</v>
      </c>
      <c r="P32" s="153" t="e">
        <f t="shared" si="1"/>
        <v>#DIV/0!</v>
      </c>
    </row>
    <row r="33" spans="1:16">
      <c r="A33" s="148" t="s">
        <v>410</v>
      </c>
      <c r="B33" s="209">
        <f>'[1]Last Year'!D14</f>
        <v>12451</v>
      </c>
      <c r="C33" s="209">
        <f ca="1">SUM(C24:C33)</f>
        <v>0</v>
      </c>
      <c r="D33" s="209">
        <f>SUM(D24:D31)</f>
        <v>3568</v>
      </c>
      <c r="E33" s="209">
        <f>SUM(E23:E32)</f>
        <v>3139</v>
      </c>
      <c r="F33" s="209">
        <f>SUM(F24:F31)</f>
        <v>3248</v>
      </c>
      <c r="G33" s="209">
        <f>SUM(G23:G32)</f>
        <v>3332</v>
      </c>
      <c r="H33" s="209">
        <f>SUM(H24:H30)</f>
        <v>1344</v>
      </c>
      <c r="I33" s="209">
        <f>SUM(I24:I30)</f>
        <v>1236</v>
      </c>
      <c r="J33" s="209">
        <f>SUM(J24:J30)</f>
        <v>1475</v>
      </c>
      <c r="K33" s="209">
        <f>SUM(K24:K31)</f>
        <v>3513</v>
      </c>
      <c r="L33" s="209">
        <f>SUM(L24:L31)</f>
        <v>3686</v>
      </c>
      <c r="M33" s="209">
        <f>SUM(M24:M31)</f>
        <v>3439</v>
      </c>
      <c r="N33" s="209">
        <f>SUM(N24:N31)</f>
        <v>3142</v>
      </c>
      <c r="O33" s="209">
        <f>SUM(O24:O31)</f>
        <v>40481</v>
      </c>
      <c r="P33" s="216">
        <f t="shared" ca="1" si="1"/>
        <v>2873.4166666666665</v>
      </c>
    </row>
    <row r="34" spans="1:16">
      <c r="A34" s="193"/>
      <c r="B34" s="193"/>
      <c r="F34" s="76"/>
      <c r="G34" s="76"/>
    </row>
    <row r="35" spans="1:16">
      <c r="A35" s="76" t="s">
        <v>464</v>
      </c>
      <c r="B35" s="76" t="e">
        <f>SUM(total_Income)</f>
        <v>#NAME?</v>
      </c>
      <c r="F35" s="76"/>
      <c r="G35" s="76"/>
    </row>
    <row r="36" spans="1:16">
      <c r="A36" s="76" t="s">
        <v>465</v>
      </c>
      <c r="B36" s="76" t="e">
        <f>SUM(TotalExpenses)</f>
        <v>#NAME?</v>
      </c>
      <c r="F36" s="76"/>
      <c r="G36" s="76"/>
    </row>
    <row r="37" spans="1:16">
      <c r="A37" s="193"/>
      <c r="B37" s="193"/>
      <c r="F37" s="76"/>
      <c r="G37" s="76"/>
    </row>
    <row r="38" spans="1:16">
      <c r="A38" s="193"/>
      <c r="B38" s="193"/>
      <c r="F38" s="76"/>
      <c r="G38" s="76"/>
    </row>
  </sheetData>
  <mergeCells count="3">
    <mergeCell ref="E3:G3"/>
    <mergeCell ref="K3:M3"/>
    <mergeCell ref="A15:R1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29C0-4EF4-4BBC-9F65-3B5E191615CF}">
  <sheetPr>
    <tabColor theme="7" tint="0.39997558519241921"/>
  </sheetPr>
  <dimension ref="B1:D15"/>
  <sheetViews>
    <sheetView zoomScaleNormal="100" workbookViewId="0">
      <selection activeCell="F13" sqref="F13"/>
    </sheetView>
  </sheetViews>
  <sheetFormatPr defaultColWidth="9.26953125" defaultRowHeight="12.5"/>
  <cols>
    <col min="1" max="2" width="3.26953125" style="41" bestFit="1" customWidth="1"/>
    <col min="3" max="3" width="10.54296875" style="41" bestFit="1" customWidth="1"/>
    <col min="4" max="4" width="11.54296875" style="41" bestFit="1" customWidth="1"/>
    <col min="5" max="16384" width="9.26953125" style="41"/>
  </cols>
  <sheetData>
    <row r="1" spans="2:4">
      <c r="B1" s="263" t="s">
        <v>412</v>
      </c>
      <c r="C1" s="178" t="s">
        <v>450</v>
      </c>
      <c r="D1" s="179" t="s">
        <v>410</v>
      </c>
    </row>
    <row r="2" spans="2:4">
      <c r="B2" s="263"/>
      <c r="C2" s="180" t="s">
        <v>413</v>
      </c>
      <c r="D2" s="181">
        <v>20700</v>
      </c>
    </row>
    <row r="3" spans="2:4">
      <c r="B3" s="263"/>
      <c r="C3" s="180" t="s">
        <v>414</v>
      </c>
      <c r="D3" s="181">
        <v>340</v>
      </c>
    </row>
    <row r="4" spans="2:4">
      <c r="B4" s="263"/>
      <c r="C4" s="180" t="s">
        <v>415</v>
      </c>
      <c r="D4" s="181">
        <v>10</v>
      </c>
    </row>
    <row r="5" spans="2:4" ht="13" thickBot="1">
      <c r="B5" s="263"/>
      <c r="C5" s="182" t="s">
        <v>410</v>
      </c>
      <c r="D5" s="183">
        <f>SUM(D2:D4)</f>
        <v>21050</v>
      </c>
    </row>
    <row r="6" spans="2:4" ht="13" thickTop="1">
      <c r="B6" s="263" t="s">
        <v>416</v>
      </c>
      <c r="C6" s="180" t="s">
        <v>417</v>
      </c>
      <c r="D6" s="181">
        <v>231</v>
      </c>
    </row>
    <row r="7" spans="2:4">
      <c r="B7" s="263"/>
      <c r="C7" s="180" t="s">
        <v>418</v>
      </c>
      <c r="D7" s="181">
        <v>233</v>
      </c>
    </row>
    <row r="8" spans="2:4">
      <c r="B8" s="263"/>
      <c r="C8" s="180" t="s">
        <v>419</v>
      </c>
      <c r="D8" s="181">
        <v>12</v>
      </c>
    </row>
    <row r="9" spans="2:4">
      <c r="B9" s="263"/>
      <c r="C9" s="180" t="s">
        <v>420</v>
      </c>
      <c r="D9" s="181">
        <v>32</v>
      </c>
    </row>
    <row r="10" spans="2:4">
      <c r="B10" s="263"/>
      <c r="C10" s="180" t="s">
        <v>451</v>
      </c>
      <c r="D10" s="181">
        <v>689</v>
      </c>
    </row>
    <row r="11" spans="2:4">
      <c r="B11" s="263"/>
      <c r="C11" s="180" t="s">
        <v>422</v>
      </c>
      <c r="D11" s="181">
        <v>55</v>
      </c>
    </row>
    <row r="12" spans="2:4">
      <c r="B12" s="263"/>
      <c r="C12" s="180" t="s">
        <v>423</v>
      </c>
      <c r="D12" s="181">
        <v>6666</v>
      </c>
    </row>
    <row r="13" spans="2:4">
      <c r="B13" s="263"/>
      <c r="C13" s="180" t="s">
        <v>424</v>
      </c>
      <c r="D13" s="181">
        <v>4533</v>
      </c>
    </row>
    <row r="14" spans="2:4" ht="15" thickBot="1">
      <c r="B14" s="263"/>
      <c r="C14" s="184" t="s">
        <v>410</v>
      </c>
      <c r="D14" s="185">
        <f>SUM(D6:D13)</f>
        <v>12451</v>
      </c>
    </row>
    <row r="15" spans="2:4" ht="13" thickTop="1"/>
  </sheetData>
  <mergeCells count="2">
    <mergeCell ref="B1:B5"/>
    <mergeCell ref="B6:B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4CA4-9548-4466-90EE-9A2E691615AF}">
  <sheetPr>
    <tabColor rgb="FFFFFF00"/>
  </sheetPr>
  <dimension ref="A2:N29"/>
  <sheetViews>
    <sheetView zoomScale="115" zoomScaleNormal="115" workbookViewId="0">
      <selection activeCell="P13" sqref="P13"/>
    </sheetView>
  </sheetViews>
  <sheetFormatPr defaultColWidth="8.7265625" defaultRowHeight="14.5"/>
  <cols>
    <col min="1" max="1" width="14" style="76" bestFit="1" customWidth="1"/>
    <col min="2" max="2" width="10.7265625" style="76" bestFit="1" customWidth="1"/>
    <col min="3" max="3" width="9.7265625" style="76" bestFit="1" customWidth="1"/>
    <col min="4" max="4" width="8.54296875" style="156" bestFit="1" customWidth="1"/>
    <col min="5" max="5" width="9.453125" style="76" bestFit="1" customWidth="1"/>
    <col min="6" max="6" width="9.7265625" style="76" bestFit="1" customWidth="1"/>
    <col min="7" max="7" width="8.7265625" style="76" bestFit="1" customWidth="1"/>
    <col min="8" max="8" width="11.26953125" style="76" bestFit="1" customWidth="1"/>
    <col min="9" max="9" width="10.7265625" style="76" bestFit="1" customWidth="1"/>
    <col min="10" max="10" width="8.54296875" style="156" bestFit="1" customWidth="1"/>
    <col min="11" max="11" width="10.1796875" style="76" bestFit="1" customWidth="1"/>
    <col min="12" max="12" width="10.7265625" style="76" bestFit="1" customWidth="1"/>
    <col min="13" max="13" width="10.1796875" style="76" bestFit="1" customWidth="1"/>
    <col min="14" max="16384" width="8.7265625" style="76"/>
  </cols>
  <sheetData>
    <row r="2" spans="1:14" ht="15" thickBot="1"/>
    <row r="3" spans="1:14" s="159" customFormat="1">
      <c r="A3" s="157" t="s">
        <v>425</v>
      </c>
      <c r="B3" s="264" t="s">
        <v>426</v>
      </c>
      <c r="C3" s="264"/>
      <c r="D3" s="264"/>
      <c r="E3" s="264"/>
      <c r="F3" s="264"/>
      <c r="G3" s="265"/>
      <c r="H3" s="264" t="s">
        <v>427</v>
      </c>
      <c r="I3" s="264"/>
      <c r="J3" s="264"/>
      <c r="K3" s="264"/>
      <c r="L3" s="264"/>
      <c r="M3" s="265"/>
      <c r="N3" s="158"/>
    </row>
    <row r="4" spans="1:14" ht="15" customHeight="1">
      <c r="A4" s="160" t="s">
        <v>428</v>
      </c>
      <c r="B4" s="266" t="s">
        <v>429</v>
      </c>
      <c r="C4" s="266"/>
      <c r="D4" s="266"/>
      <c r="E4" s="266"/>
      <c r="F4" s="266"/>
      <c r="G4" s="267"/>
      <c r="H4" s="266" t="s">
        <v>430</v>
      </c>
      <c r="I4" s="266"/>
      <c r="J4" s="266"/>
      <c r="K4" s="266"/>
      <c r="L4" s="266"/>
      <c r="M4" s="267"/>
      <c r="N4" s="161"/>
    </row>
    <row r="5" spans="1:14" ht="13.15" customHeight="1">
      <c r="A5" s="160" t="s">
        <v>431</v>
      </c>
      <c r="B5" s="266" t="s">
        <v>432</v>
      </c>
      <c r="C5" s="266"/>
      <c r="D5" s="266"/>
      <c r="E5" s="266"/>
      <c r="F5" s="266"/>
      <c r="G5" s="267"/>
      <c r="H5" s="266" t="s">
        <v>433</v>
      </c>
      <c r="I5" s="266"/>
      <c r="J5" s="266"/>
      <c r="K5" s="266"/>
      <c r="L5" s="266"/>
      <c r="M5" s="267"/>
      <c r="N5" s="161"/>
    </row>
    <row r="6" spans="1:14">
      <c r="A6" s="160" t="s">
        <v>434</v>
      </c>
      <c r="B6" s="266" t="s">
        <v>435</v>
      </c>
      <c r="C6" s="266"/>
      <c r="D6" s="266"/>
      <c r="E6" s="266"/>
      <c r="F6" s="266"/>
      <c r="G6" s="267"/>
      <c r="H6" s="266" t="s">
        <v>436</v>
      </c>
      <c r="I6" s="266"/>
      <c r="J6" s="266"/>
      <c r="K6" s="266"/>
      <c r="L6" s="266"/>
      <c r="M6" s="267"/>
      <c r="N6" s="161"/>
    </row>
    <row r="7" spans="1:14">
      <c r="A7" s="160" t="s">
        <v>437</v>
      </c>
      <c r="B7" s="266" t="s">
        <v>438</v>
      </c>
      <c r="C7" s="266"/>
      <c r="D7" s="266"/>
      <c r="E7" s="266"/>
      <c r="F7" s="266"/>
      <c r="G7" s="267"/>
      <c r="H7" s="266" t="s">
        <v>439</v>
      </c>
      <c r="I7" s="266"/>
      <c r="J7" s="266"/>
      <c r="K7" s="266"/>
      <c r="L7" s="266"/>
      <c r="M7" s="267"/>
      <c r="N7" s="161"/>
    </row>
    <row r="8" spans="1:14" ht="15" customHeight="1">
      <c r="A8" s="160" t="s">
        <v>440</v>
      </c>
      <c r="B8" s="266" t="s">
        <v>441</v>
      </c>
      <c r="C8" s="266"/>
      <c r="D8" s="266"/>
      <c r="E8" s="266"/>
      <c r="F8" s="266"/>
      <c r="G8" s="267"/>
      <c r="H8" s="266" t="s">
        <v>442</v>
      </c>
      <c r="I8" s="266"/>
      <c r="J8" s="266"/>
      <c r="K8" s="266"/>
      <c r="L8" s="266"/>
      <c r="M8" s="267"/>
      <c r="N8" s="161"/>
    </row>
    <row r="9" spans="1:14" ht="29.15" customHeight="1">
      <c r="A9" s="160"/>
      <c r="B9" s="162" t="s">
        <v>443</v>
      </c>
      <c r="C9" s="162" t="s">
        <v>444</v>
      </c>
      <c r="D9" s="163" t="s">
        <v>445</v>
      </c>
      <c r="E9" s="164" t="s">
        <v>446</v>
      </c>
      <c r="F9" s="162" t="s">
        <v>447</v>
      </c>
      <c r="G9" s="165" t="s">
        <v>448</v>
      </c>
      <c r="H9" s="162" t="s">
        <v>443</v>
      </c>
      <c r="I9" s="162" t="s">
        <v>444</v>
      </c>
      <c r="J9" s="163" t="s">
        <v>445</v>
      </c>
      <c r="K9" s="164" t="s">
        <v>446</v>
      </c>
      <c r="L9" s="162" t="s">
        <v>447</v>
      </c>
      <c r="M9" s="165" t="s">
        <v>448</v>
      </c>
      <c r="N9" s="161"/>
    </row>
    <row r="10" spans="1:14" ht="19.5" customHeight="1">
      <c r="A10" s="160" t="s">
        <v>401</v>
      </c>
      <c r="B10" s="166">
        <v>6500</v>
      </c>
      <c r="C10" s="166">
        <v>789</v>
      </c>
      <c r="D10" s="167">
        <v>0.12</v>
      </c>
      <c r="E10" s="166">
        <f t="shared" ref="E10:E21" si="0">B10*6%</f>
        <v>390</v>
      </c>
      <c r="F10" s="168">
        <f t="shared" ref="F10:F21" si="1">B10-C10-E10</f>
        <v>5321</v>
      </c>
      <c r="G10" s="169">
        <f t="shared" ref="G10:G21" si="2">B10*0.065</f>
        <v>422.5</v>
      </c>
      <c r="H10" s="166">
        <v>22110</v>
      </c>
      <c r="I10" s="166">
        <f>H10*J10</f>
        <v>4422</v>
      </c>
      <c r="J10" s="167">
        <v>0.2</v>
      </c>
      <c r="K10" s="166">
        <f t="shared" ref="K10:K21" si="3">H10*6%</f>
        <v>1326.6</v>
      </c>
      <c r="L10" s="168">
        <f t="shared" ref="L10:L21" si="4">H10-I10-K10</f>
        <v>16361.4</v>
      </c>
      <c r="M10" s="169">
        <f t="shared" ref="M10:M21" si="5">H10*0.065</f>
        <v>1437.15</v>
      </c>
      <c r="N10" s="161"/>
    </row>
    <row r="11" spans="1:14" ht="19.5" customHeight="1">
      <c r="A11" s="160" t="s">
        <v>402</v>
      </c>
      <c r="B11" s="166">
        <v>1191.6400000000001</v>
      </c>
      <c r="C11" s="166">
        <v>125</v>
      </c>
      <c r="D11" s="167">
        <v>0.12</v>
      </c>
      <c r="E11" s="166">
        <f t="shared" si="0"/>
        <v>71.498400000000004</v>
      </c>
      <c r="F11" s="168">
        <f t="shared" si="1"/>
        <v>995.14160000000015</v>
      </c>
      <c r="G11" s="169">
        <f t="shared" si="2"/>
        <v>77.456600000000009</v>
      </c>
      <c r="H11" s="166">
        <v>3000</v>
      </c>
      <c r="I11" s="166">
        <f t="shared" ref="I11:I21" si="6">H11*J11</f>
        <v>600</v>
      </c>
      <c r="J11" s="167">
        <v>0.2</v>
      </c>
      <c r="K11" s="166">
        <f t="shared" si="3"/>
        <v>180</v>
      </c>
      <c r="L11" s="168">
        <f t="shared" si="4"/>
        <v>2220</v>
      </c>
      <c r="M11" s="169">
        <f t="shared" si="5"/>
        <v>195</v>
      </c>
      <c r="N11" s="161"/>
    </row>
    <row r="12" spans="1:14" ht="19.5" customHeight="1">
      <c r="A12" s="160" t="s">
        <v>403</v>
      </c>
      <c r="B12" s="166">
        <v>1341.64</v>
      </c>
      <c r="C12" s="166">
        <f t="shared" ref="C12:C21" si="7">B12*D12</f>
        <v>160.99680000000001</v>
      </c>
      <c r="D12" s="167">
        <v>0.12</v>
      </c>
      <c r="E12" s="166">
        <f t="shared" si="0"/>
        <v>80.498400000000004</v>
      </c>
      <c r="F12" s="168">
        <f t="shared" si="1"/>
        <v>1100.1448</v>
      </c>
      <c r="G12" s="169">
        <f t="shared" si="2"/>
        <v>87.206600000000009</v>
      </c>
      <c r="H12" s="166">
        <v>3000</v>
      </c>
      <c r="I12" s="166">
        <f t="shared" si="6"/>
        <v>600</v>
      </c>
      <c r="J12" s="167">
        <v>0.2</v>
      </c>
      <c r="K12" s="166">
        <f t="shared" si="3"/>
        <v>180</v>
      </c>
      <c r="L12" s="168">
        <f t="shared" si="4"/>
        <v>2220</v>
      </c>
      <c r="M12" s="169">
        <f t="shared" si="5"/>
        <v>195</v>
      </c>
      <c r="N12" s="161"/>
    </row>
    <row r="13" spans="1:14" ht="19.5" customHeight="1">
      <c r="A13" s="160" t="s">
        <v>404</v>
      </c>
      <c r="B13" s="166">
        <v>412.5</v>
      </c>
      <c r="C13" s="166">
        <f t="shared" si="7"/>
        <v>49.5</v>
      </c>
      <c r="D13" s="167">
        <v>0.12</v>
      </c>
      <c r="E13" s="166">
        <f t="shared" si="0"/>
        <v>24.75</v>
      </c>
      <c r="F13" s="168">
        <f t="shared" si="1"/>
        <v>338.25</v>
      </c>
      <c r="G13" s="169">
        <f t="shared" si="2"/>
        <v>26.8125</v>
      </c>
      <c r="H13" s="166">
        <v>3000</v>
      </c>
      <c r="I13" s="166">
        <f t="shared" si="6"/>
        <v>600</v>
      </c>
      <c r="J13" s="167">
        <v>0.2</v>
      </c>
      <c r="K13" s="166">
        <f t="shared" si="3"/>
        <v>180</v>
      </c>
      <c r="L13" s="168">
        <f t="shared" si="4"/>
        <v>2220</v>
      </c>
      <c r="M13" s="169">
        <f t="shared" si="5"/>
        <v>195</v>
      </c>
      <c r="N13" s="161"/>
    </row>
    <row r="14" spans="1:14" ht="19.5" customHeight="1">
      <c r="A14" s="160" t="s">
        <v>405</v>
      </c>
      <c r="B14" s="166">
        <v>720.82</v>
      </c>
      <c r="C14" s="166">
        <f t="shared" si="7"/>
        <v>86.498400000000004</v>
      </c>
      <c r="D14" s="167">
        <v>0.12</v>
      </c>
      <c r="E14" s="166">
        <f t="shared" si="0"/>
        <v>43.249200000000002</v>
      </c>
      <c r="F14" s="168">
        <f t="shared" si="1"/>
        <v>591.07240000000002</v>
      </c>
      <c r="G14" s="169">
        <f t="shared" si="2"/>
        <v>46.853300000000004</v>
      </c>
      <c r="H14" s="166">
        <v>3000</v>
      </c>
      <c r="I14" s="166">
        <f t="shared" si="6"/>
        <v>600</v>
      </c>
      <c r="J14" s="167">
        <v>0.2</v>
      </c>
      <c r="K14" s="166">
        <f t="shared" si="3"/>
        <v>180</v>
      </c>
      <c r="L14" s="168">
        <f t="shared" si="4"/>
        <v>2220</v>
      </c>
      <c r="M14" s="169">
        <f t="shared" si="5"/>
        <v>195</v>
      </c>
      <c r="N14" s="161"/>
    </row>
    <row r="15" spans="1:14" ht="19.5" customHeight="1">
      <c r="A15" s="160" t="s">
        <v>406</v>
      </c>
      <c r="B15" s="166">
        <v>1000</v>
      </c>
      <c r="C15" s="166">
        <f t="shared" si="7"/>
        <v>120</v>
      </c>
      <c r="D15" s="167">
        <v>0.12</v>
      </c>
      <c r="E15" s="166">
        <f t="shared" si="0"/>
        <v>60</v>
      </c>
      <c r="F15" s="168">
        <f t="shared" si="1"/>
        <v>820</v>
      </c>
      <c r="G15" s="169">
        <f t="shared" si="2"/>
        <v>65</v>
      </c>
      <c r="H15" s="166">
        <v>3000</v>
      </c>
      <c r="I15" s="166">
        <f t="shared" si="6"/>
        <v>600</v>
      </c>
      <c r="J15" s="167">
        <v>0.2</v>
      </c>
      <c r="K15" s="166">
        <f t="shared" si="3"/>
        <v>180</v>
      </c>
      <c r="L15" s="168">
        <f t="shared" si="4"/>
        <v>2220</v>
      </c>
      <c r="M15" s="169">
        <f t="shared" si="5"/>
        <v>195</v>
      </c>
      <c r="N15" s="161"/>
    </row>
    <row r="16" spans="1:14" ht="19.5" customHeight="1">
      <c r="A16" s="160" t="s">
        <v>407</v>
      </c>
      <c r="B16" s="166">
        <v>412.5</v>
      </c>
      <c r="C16" s="166">
        <f t="shared" si="7"/>
        <v>49.5</v>
      </c>
      <c r="D16" s="167">
        <v>0.12</v>
      </c>
      <c r="E16" s="166">
        <f t="shared" si="0"/>
        <v>24.75</v>
      </c>
      <c r="F16" s="168">
        <f t="shared" si="1"/>
        <v>338.25</v>
      </c>
      <c r="G16" s="169">
        <f t="shared" si="2"/>
        <v>26.8125</v>
      </c>
      <c r="H16" s="166">
        <v>3000</v>
      </c>
      <c r="I16" s="166">
        <f t="shared" si="6"/>
        <v>600</v>
      </c>
      <c r="J16" s="167">
        <v>0.2</v>
      </c>
      <c r="K16" s="166">
        <f t="shared" si="3"/>
        <v>180</v>
      </c>
      <c r="L16" s="168">
        <f t="shared" si="4"/>
        <v>2220</v>
      </c>
      <c r="M16" s="169">
        <f t="shared" si="5"/>
        <v>195</v>
      </c>
      <c r="N16" s="161"/>
    </row>
    <row r="17" spans="1:14" ht="19.5" customHeight="1">
      <c r="A17" s="160" t="s">
        <v>408</v>
      </c>
      <c r="B17" s="166">
        <v>720.82</v>
      </c>
      <c r="C17" s="166">
        <f t="shared" si="7"/>
        <v>86.498400000000004</v>
      </c>
      <c r="D17" s="167">
        <v>0.12</v>
      </c>
      <c r="E17" s="166">
        <f t="shared" si="0"/>
        <v>43.249200000000002</v>
      </c>
      <c r="F17" s="168">
        <f t="shared" si="1"/>
        <v>591.07240000000002</v>
      </c>
      <c r="G17" s="169">
        <f t="shared" si="2"/>
        <v>46.853300000000004</v>
      </c>
      <c r="H17" s="166">
        <v>3000</v>
      </c>
      <c r="I17" s="166">
        <f t="shared" si="6"/>
        <v>600</v>
      </c>
      <c r="J17" s="167">
        <v>0.2</v>
      </c>
      <c r="K17" s="166">
        <f t="shared" si="3"/>
        <v>180</v>
      </c>
      <c r="L17" s="168">
        <f t="shared" si="4"/>
        <v>2220</v>
      </c>
      <c r="M17" s="169">
        <f t="shared" si="5"/>
        <v>195</v>
      </c>
      <c r="N17" s="161"/>
    </row>
    <row r="18" spans="1:14" ht="19.5" customHeight="1">
      <c r="A18" s="160" t="s">
        <v>409</v>
      </c>
      <c r="B18" s="166">
        <v>1000</v>
      </c>
      <c r="C18" s="166">
        <f t="shared" si="7"/>
        <v>120</v>
      </c>
      <c r="D18" s="167">
        <v>0.12</v>
      </c>
      <c r="E18" s="166">
        <f t="shared" si="0"/>
        <v>60</v>
      </c>
      <c r="F18" s="168">
        <f t="shared" si="1"/>
        <v>820</v>
      </c>
      <c r="G18" s="169">
        <f t="shared" si="2"/>
        <v>65</v>
      </c>
      <c r="H18" s="166">
        <v>3000</v>
      </c>
      <c r="I18" s="166">
        <f t="shared" si="6"/>
        <v>600</v>
      </c>
      <c r="J18" s="167">
        <v>0.2</v>
      </c>
      <c r="K18" s="166">
        <f t="shared" si="3"/>
        <v>180</v>
      </c>
      <c r="L18" s="168">
        <f t="shared" si="4"/>
        <v>2220</v>
      </c>
      <c r="M18" s="169">
        <f t="shared" si="5"/>
        <v>195</v>
      </c>
      <c r="N18" s="161"/>
    </row>
    <row r="19" spans="1:14" ht="19.5" customHeight="1">
      <c r="A19" s="160" t="s">
        <v>9</v>
      </c>
      <c r="B19" s="166">
        <v>250</v>
      </c>
      <c r="C19" s="166">
        <f t="shared" si="7"/>
        <v>30</v>
      </c>
      <c r="D19" s="167">
        <v>0.12</v>
      </c>
      <c r="E19" s="166">
        <f t="shared" si="0"/>
        <v>15</v>
      </c>
      <c r="F19" s="168">
        <f t="shared" si="1"/>
        <v>205</v>
      </c>
      <c r="G19" s="169">
        <f t="shared" si="2"/>
        <v>16.25</v>
      </c>
      <c r="H19" s="166">
        <v>3000</v>
      </c>
      <c r="I19" s="166">
        <f t="shared" si="6"/>
        <v>600</v>
      </c>
      <c r="J19" s="167">
        <v>0.2</v>
      </c>
      <c r="K19" s="166">
        <f t="shared" si="3"/>
        <v>180</v>
      </c>
      <c r="L19" s="168">
        <f t="shared" si="4"/>
        <v>2220</v>
      </c>
      <c r="M19" s="169">
        <f t="shared" si="5"/>
        <v>195</v>
      </c>
      <c r="N19" s="161"/>
    </row>
    <row r="20" spans="1:14" ht="19.5" customHeight="1">
      <c r="A20" s="160" t="s">
        <v>10</v>
      </c>
      <c r="B20" s="166">
        <v>1191.6400000000001</v>
      </c>
      <c r="C20" s="166">
        <f t="shared" si="7"/>
        <v>142.99680000000001</v>
      </c>
      <c r="D20" s="167">
        <v>0.12</v>
      </c>
      <c r="E20" s="166">
        <f t="shared" si="0"/>
        <v>71.498400000000004</v>
      </c>
      <c r="F20" s="168">
        <f t="shared" si="1"/>
        <v>977.14480000000003</v>
      </c>
      <c r="G20" s="169">
        <f t="shared" si="2"/>
        <v>77.456600000000009</v>
      </c>
      <c r="H20" s="166">
        <v>3000</v>
      </c>
      <c r="I20" s="166">
        <f t="shared" si="6"/>
        <v>600</v>
      </c>
      <c r="J20" s="167">
        <v>0.2</v>
      </c>
      <c r="K20" s="166">
        <f t="shared" si="3"/>
        <v>180</v>
      </c>
      <c r="L20" s="168">
        <f t="shared" si="4"/>
        <v>2220</v>
      </c>
      <c r="M20" s="169">
        <f t="shared" si="5"/>
        <v>195</v>
      </c>
      <c r="N20" s="161"/>
    </row>
    <row r="21" spans="1:14" ht="19.5" customHeight="1">
      <c r="A21" s="160" t="s">
        <v>11</v>
      </c>
      <c r="B21" s="166">
        <v>1341.64</v>
      </c>
      <c r="C21" s="166">
        <f t="shared" si="7"/>
        <v>160.99680000000001</v>
      </c>
      <c r="D21" s="167">
        <v>0.12</v>
      </c>
      <c r="E21" s="166">
        <f t="shared" si="0"/>
        <v>80.498400000000004</v>
      </c>
      <c r="F21" s="168">
        <f t="shared" si="1"/>
        <v>1100.1448</v>
      </c>
      <c r="G21" s="169">
        <f t="shared" si="2"/>
        <v>87.206600000000009</v>
      </c>
      <c r="H21" s="166">
        <v>6000</v>
      </c>
      <c r="I21" s="166">
        <f t="shared" si="6"/>
        <v>1200</v>
      </c>
      <c r="J21" s="167">
        <v>0.2</v>
      </c>
      <c r="K21" s="166">
        <f t="shared" si="3"/>
        <v>360</v>
      </c>
      <c r="L21" s="168">
        <f t="shared" si="4"/>
        <v>4440</v>
      </c>
      <c r="M21" s="169">
        <f t="shared" si="5"/>
        <v>390</v>
      </c>
      <c r="N21" s="161"/>
    </row>
    <row r="22" spans="1:14" s="175" customFormat="1" ht="18" customHeight="1" thickBot="1">
      <c r="A22" s="170" t="s">
        <v>449</v>
      </c>
      <c r="B22" s="171">
        <f>SUM(B10:B21)</f>
        <v>16083.199999999999</v>
      </c>
      <c r="C22" s="171">
        <f>SUM(C10:C21)</f>
        <v>1920.9871999999996</v>
      </c>
      <c r="D22" s="172"/>
      <c r="E22" s="171">
        <f>SUM(E10:E21)</f>
        <v>964.99199999999996</v>
      </c>
      <c r="F22" s="171">
        <f>SUM(F10:F21)</f>
        <v>13197.220799999999</v>
      </c>
      <c r="G22" s="171">
        <f>SUM(G10:G21)</f>
        <v>1045.4079999999999</v>
      </c>
      <c r="H22" s="171">
        <f>SUM(H10:H21)</f>
        <v>58110</v>
      </c>
      <c r="I22" s="171">
        <f>SUM(I10:I21)</f>
        <v>11622</v>
      </c>
      <c r="J22" s="173"/>
      <c r="K22" s="171">
        <f>SUM(K10:K21)</f>
        <v>3486.6</v>
      </c>
      <c r="L22" s="171">
        <f>SUM(L10:L21)</f>
        <v>43001.4</v>
      </c>
      <c r="M22" s="171">
        <f>SUM(M10:M21)</f>
        <v>3777.15</v>
      </c>
      <c r="N22" s="174"/>
    </row>
    <row r="23" spans="1:14" ht="15" thickTop="1">
      <c r="A23" s="161"/>
      <c r="B23" s="161"/>
      <c r="C23" s="161"/>
      <c r="D23" s="176"/>
      <c r="E23" s="161"/>
      <c r="F23" s="161"/>
      <c r="G23" s="161"/>
      <c r="H23" s="161"/>
      <c r="I23" s="161"/>
      <c r="J23" s="167"/>
      <c r="K23" s="161"/>
      <c r="L23" s="161"/>
      <c r="M23" s="161"/>
      <c r="N23" s="161"/>
    </row>
    <row r="24" spans="1:14">
      <c r="A24" s="161"/>
      <c r="B24" s="161"/>
      <c r="C24" s="161"/>
      <c r="D24" s="176"/>
      <c r="E24" s="161"/>
      <c r="F24" s="161"/>
      <c r="G24" s="161"/>
      <c r="H24" s="161"/>
      <c r="I24" s="161"/>
      <c r="J24" s="167"/>
      <c r="K24" s="161"/>
      <c r="L24" s="161"/>
      <c r="M24" s="161"/>
      <c r="N24" s="161"/>
    </row>
    <row r="25" spans="1:14">
      <c r="A25" s="161"/>
      <c r="B25" s="161"/>
      <c r="C25" s="161"/>
      <c r="D25" s="176"/>
      <c r="E25" s="161"/>
      <c r="F25" s="161"/>
      <c r="G25" s="161"/>
      <c r="H25" s="161"/>
      <c r="I25" s="161"/>
      <c r="J25" s="167"/>
      <c r="K25" s="161"/>
      <c r="L25" s="161"/>
      <c r="M25" s="161"/>
      <c r="N25" s="161"/>
    </row>
    <row r="26" spans="1:14">
      <c r="J26" s="177"/>
    </row>
    <row r="27" spans="1:14">
      <c r="J27" s="177"/>
    </row>
    <row r="28" spans="1:14">
      <c r="J28" s="177"/>
    </row>
    <row r="29" spans="1:14">
      <c r="J29" s="177"/>
    </row>
  </sheetData>
  <sheetProtection sort="0"/>
  <mergeCells count="12">
    <mergeCell ref="B6:G6"/>
    <mergeCell ref="H6:M6"/>
    <mergeCell ref="B7:G7"/>
    <mergeCell ref="H7:M7"/>
    <mergeCell ref="B8:G8"/>
    <mergeCell ref="H8:M8"/>
    <mergeCell ref="B3:G3"/>
    <mergeCell ref="H3:M3"/>
    <mergeCell ref="B4:G4"/>
    <mergeCell ref="H4:M4"/>
    <mergeCell ref="B5:G5"/>
    <mergeCell ref="H5:M5"/>
  </mergeCells>
  <pageMargins left="0.7" right="0.7" top="0.75" bottom="0.75" header="0.3" footer="0.3"/>
  <pageSetup paperSize="9" orientation="portrait" vertic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A4F5-97BB-45E7-8879-DB47EACC89CF}">
  <sheetPr>
    <tabColor rgb="FFFFFF00"/>
  </sheetPr>
  <dimension ref="A3:P16"/>
  <sheetViews>
    <sheetView zoomScale="110" zoomScaleNormal="110" workbookViewId="0">
      <selection activeCell="O8" sqref="O8"/>
    </sheetView>
  </sheetViews>
  <sheetFormatPr defaultColWidth="9" defaultRowHeight="12.5"/>
  <cols>
    <col min="1" max="1" width="10.26953125" style="41" bestFit="1" customWidth="1"/>
    <col min="2" max="2" width="10.7265625" style="41" bestFit="1" customWidth="1"/>
    <col min="3" max="14" width="10.453125" style="41" bestFit="1" customWidth="1"/>
    <col min="15" max="15" width="11.54296875" style="41" bestFit="1" customWidth="1"/>
    <col min="16" max="16" width="10.453125" style="41" bestFit="1" customWidth="1"/>
    <col min="17" max="16384" width="9" style="41"/>
  </cols>
  <sheetData>
    <row r="3" spans="1:16">
      <c r="B3" s="144"/>
      <c r="C3" s="145" t="s">
        <v>401</v>
      </c>
      <c r="D3" s="145" t="s">
        <v>402</v>
      </c>
      <c r="E3" s="145" t="s">
        <v>403</v>
      </c>
      <c r="F3" s="145" t="s">
        <v>404</v>
      </c>
      <c r="G3" s="145" t="s">
        <v>405</v>
      </c>
      <c r="H3" s="145" t="s">
        <v>406</v>
      </c>
      <c r="I3" s="145" t="s">
        <v>407</v>
      </c>
      <c r="J3" s="145" t="s">
        <v>408</v>
      </c>
      <c r="K3" s="145" t="s">
        <v>409</v>
      </c>
      <c r="L3" s="145" t="s">
        <v>9</v>
      </c>
      <c r="M3" s="145" t="s">
        <v>10</v>
      </c>
      <c r="N3" s="145" t="s">
        <v>11</v>
      </c>
      <c r="O3" s="146" t="s">
        <v>410</v>
      </c>
      <c r="P3" s="147" t="s">
        <v>411</v>
      </c>
    </row>
    <row r="4" spans="1:16">
      <c r="A4" s="268" t="s">
        <v>412</v>
      </c>
      <c r="B4" s="149" t="s">
        <v>413</v>
      </c>
      <c r="C4" s="150">
        <v>2700</v>
      </c>
      <c r="D4" s="151">
        <v>2000</v>
      </c>
      <c r="E4" s="150">
        <v>2000</v>
      </c>
      <c r="F4" s="150">
        <v>2500</v>
      </c>
      <c r="G4" s="150">
        <v>2500</v>
      </c>
      <c r="H4" s="150">
        <v>2500</v>
      </c>
      <c r="I4" s="150">
        <v>2500</v>
      </c>
      <c r="J4" s="150">
        <v>2500</v>
      </c>
      <c r="K4" s="150">
        <v>2500</v>
      </c>
      <c r="L4" s="150">
        <v>3000</v>
      </c>
      <c r="M4" s="150">
        <v>3000</v>
      </c>
      <c r="N4" s="150">
        <v>3000</v>
      </c>
      <c r="O4" s="152">
        <f>SUM(C4:N4)</f>
        <v>30700</v>
      </c>
      <c r="P4" s="153">
        <f t="shared" ref="P4:P15" si="0">AVERAGE(C4:N4)</f>
        <v>2558.3333333333335</v>
      </c>
    </row>
    <row r="5" spans="1:16">
      <c r="A5" s="268"/>
      <c r="B5" s="149" t="s">
        <v>414</v>
      </c>
      <c r="C5" s="150">
        <v>695</v>
      </c>
      <c r="D5" s="150">
        <v>695</v>
      </c>
      <c r="E5" s="150">
        <v>695</v>
      </c>
      <c r="F5" s="150">
        <v>695</v>
      </c>
      <c r="G5" s="150">
        <v>695</v>
      </c>
      <c r="H5" s="150">
        <v>695</v>
      </c>
      <c r="I5" s="150">
        <v>695</v>
      </c>
      <c r="J5" s="150">
        <v>695</v>
      </c>
      <c r="K5" s="150">
        <v>695</v>
      </c>
      <c r="L5" s="150">
        <v>695</v>
      </c>
      <c r="M5" s="150">
        <v>695</v>
      </c>
      <c r="N5" s="150">
        <v>695</v>
      </c>
      <c r="O5" s="152">
        <f t="shared" ref="O5:O15" si="1">SUM(C5:N5)</f>
        <v>8340</v>
      </c>
      <c r="P5" s="153">
        <f t="shared" si="0"/>
        <v>695</v>
      </c>
    </row>
    <row r="6" spans="1:16">
      <c r="A6" s="268"/>
      <c r="B6" s="149" t="s">
        <v>415</v>
      </c>
      <c r="C6" s="150"/>
      <c r="D6" s="150"/>
      <c r="E6" s="150"/>
      <c r="F6" s="150"/>
      <c r="G6" s="150">
        <v>1060</v>
      </c>
      <c r="H6" s="150">
        <v>800</v>
      </c>
      <c r="I6" s="150">
        <v>1050</v>
      </c>
      <c r="J6" s="150">
        <v>1050</v>
      </c>
      <c r="K6" s="150">
        <v>1050</v>
      </c>
      <c r="L6" s="150"/>
      <c r="M6" s="150"/>
      <c r="N6" s="150"/>
      <c r="O6" s="152">
        <f t="shared" si="1"/>
        <v>5010</v>
      </c>
      <c r="P6" s="153">
        <f t="shared" si="0"/>
        <v>1002</v>
      </c>
    </row>
    <row r="7" spans="1:16">
      <c r="A7" s="268"/>
      <c r="B7" s="148" t="s">
        <v>410</v>
      </c>
      <c r="C7" s="154">
        <f>SUM(C4:C5)</f>
        <v>3395</v>
      </c>
      <c r="D7" s="154">
        <f>SUM(D4:D5)</f>
        <v>2695</v>
      </c>
      <c r="E7" s="154">
        <f>SUM(E4:E5)</f>
        <v>2695</v>
      </c>
      <c r="F7" s="154">
        <f t="shared" ref="F7:N7" si="2">SUM(F4:F5)</f>
        <v>3195</v>
      </c>
      <c r="G7" s="154">
        <f>SUM(G4:G5)</f>
        <v>3195</v>
      </c>
      <c r="H7" s="154">
        <f t="shared" si="2"/>
        <v>3195</v>
      </c>
      <c r="I7" s="154">
        <f t="shared" si="2"/>
        <v>3195</v>
      </c>
      <c r="J7" s="154">
        <f t="shared" si="2"/>
        <v>3195</v>
      </c>
      <c r="K7" s="154">
        <f t="shared" si="2"/>
        <v>3195</v>
      </c>
      <c r="L7" s="154">
        <f t="shared" si="2"/>
        <v>3695</v>
      </c>
      <c r="M7" s="154">
        <f t="shared" si="2"/>
        <v>3695</v>
      </c>
      <c r="N7" s="154">
        <f t="shared" si="2"/>
        <v>3695</v>
      </c>
      <c r="O7" s="152">
        <f t="shared" si="1"/>
        <v>39040</v>
      </c>
      <c r="P7" s="153">
        <f t="shared" si="0"/>
        <v>3253.3333333333335</v>
      </c>
    </row>
    <row r="8" spans="1:16">
      <c r="A8" s="268" t="s">
        <v>416</v>
      </c>
      <c r="B8" s="149" t="s">
        <v>417</v>
      </c>
      <c r="C8" s="150">
        <v>233</v>
      </c>
      <c r="D8" s="150">
        <v>443</v>
      </c>
      <c r="E8" s="150">
        <v>23</v>
      </c>
      <c r="F8" s="150">
        <v>100</v>
      </c>
      <c r="G8" s="150">
        <v>232</v>
      </c>
      <c r="H8" s="150">
        <v>224</v>
      </c>
      <c r="I8" s="150">
        <v>105</v>
      </c>
      <c r="J8" s="150">
        <v>333</v>
      </c>
      <c r="K8" s="150">
        <v>235</v>
      </c>
      <c r="L8" s="150">
        <v>572</v>
      </c>
      <c r="M8" s="150">
        <v>322</v>
      </c>
      <c r="N8" s="150">
        <v>24</v>
      </c>
      <c r="O8" s="152">
        <f t="shared" si="1"/>
        <v>2846</v>
      </c>
      <c r="P8" s="153">
        <f t="shared" si="0"/>
        <v>237.16666666666666</v>
      </c>
    </row>
    <row r="9" spans="1:16">
      <c r="A9" s="268"/>
      <c r="B9" s="149" t="s">
        <v>418</v>
      </c>
      <c r="C9" s="150">
        <v>12</v>
      </c>
      <c r="D9" s="150">
        <v>10</v>
      </c>
      <c r="E9" s="150">
        <v>12</v>
      </c>
      <c r="F9" s="150">
        <v>12</v>
      </c>
      <c r="G9" s="150">
        <v>11</v>
      </c>
      <c r="H9" s="150">
        <v>11</v>
      </c>
      <c r="I9" s="150">
        <v>11</v>
      </c>
      <c r="J9" s="150">
        <v>11</v>
      </c>
      <c r="K9" s="150">
        <v>10</v>
      </c>
      <c r="L9" s="150">
        <v>10</v>
      </c>
      <c r="M9" s="150">
        <v>10</v>
      </c>
      <c r="N9" s="150">
        <v>10</v>
      </c>
      <c r="O9" s="152">
        <f t="shared" si="1"/>
        <v>130</v>
      </c>
      <c r="P9" s="153">
        <f t="shared" si="0"/>
        <v>10.833333333333334</v>
      </c>
    </row>
    <row r="10" spans="1:16">
      <c r="A10" s="268"/>
      <c r="B10" s="149" t="s">
        <v>419</v>
      </c>
      <c r="C10" s="150">
        <v>11</v>
      </c>
      <c r="D10" s="150">
        <v>12</v>
      </c>
      <c r="E10" s="150">
        <v>1</v>
      </c>
      <c r="F10" s="150">
        <v>33</v>
      </c>
      <c r="G10" s="150"/>
      <c r="H10" s="150"/>
      <c r="I10" s="150">
        <v>11</v>
      </c>
      <c r="J10" s="150">
        <v>22</v>
      </c>
      <c r="K10" s="150">
        <v>12</v>
      </c>
      <c r="L10" s="150"/>
      <c r="M10" s="150">
        <v>3</v>
      </c>
      <c r="N10" s="150">
        <v>4</v>
      </c>
      <c r="O10" s="152">
        <f t="shared" si="1"/>
        <v>109</v>
      </c>
      <c r="P10" s="153">
        <f t="shared" si="0"/>
        <v>12.111111111111111</v>
      </c>
    </row>
    <row r="11" spans="1:16">
      <c r="A11" s="268"/>
      <c r="B11" s="149" t="s">
        <v>420</v>
      </c>
      <c r="C11" s="150">
        <v>34</v>
      </c>
      <c r="D11" s="150">
        <v>34</v>
      </c>
      <c r="E11" s="150">
        <v>34</v>
      </c>
      <c r="F11" s="150">
        <v>34</v>
      </c>
      <c r="G11" s="150">
        <v>34</v>
      </c>
      <c r="H11" s="150">
        <v>34</v>
      </c>
      <c r="I11" s="150">
        <v>34</v>
      </c>
      <c r="J11" s="150">
        <v>34</v>
      </c>
      <c r="K11" s="150">
        <v>34</v>
      </c>
      <c r="L11" s="150">
        <v>34</v>
      </c>
      <c r="M11" s="150">
        <v>34</v>
      </c>
      <c r="N11" s="150">
        <v>34</v>
      </c>
      <c r="O11" s="152">
        <f t="shared" si="1"/>
        <v>408</v>
      </c>
      <c r="P11" s="153">
        <f t="shared" si="0"/>
        <v>34</v>
      </c>
    </row>
    <row r="12" spans="1:16">
      <c r="A12" s="268"/>
      <c r="B12" s="149" t="s">
        <v>421</v>
      </c>
      <c r="C12" s="150">
        <v>69</v>
      </c>
      <c r="D12" s="150">
        <v>69</v>
      </c>
      <c r="E12" s="150">
        <v>69</v>
      </c>
      <c r="F12" s="150">
        <v>69</v>
      </c>
      <c r="G12" s="150">
        <v>55</v>
      </c>
      <c r="H12" s="150">
        <v>75</v>
      </c>
      <c r="I12" s="150">
        <v>75</v>
      </c>
      <c r="J12" s="150">
        <v>75</v>
      </c>
      <c r="K12" s="150">
        <v>75</v>
      </c>
      <c r="L12" s="150">
        <v>70</v>
      </c>
      <c r="M12" s="150">
        <v>70</v>
      </c>
      <c r="N12" s="150">
        <v>70</v>
      </c>
      <c r="O12" s="152">
        <f t="shared" si="1"/>
        <v>841</v>
      </c>
      <c r="P12" s="153">
        <f t="shared" si="0"/>
        <v>70.083333333333329</v>
      </c>
    </row>
    <row r="13" spans="1:16">
      <c r="A13" s="268"/>
      <c r="B13" s="149" t="s">
        <v>422</v>
      </c>
      <c r="C13" s="150"/>
      <c r="D13" s="150"/>
      <c r="E13" s="150"/>
      <c r="F13" s="150"/>
      <c r="G13" s="150"/>
      <c r="H13" s="150"/>
      <c r="I13" s="150"/>
      <c r="J13" s="150"/>
      <c r="K13" s="150">
        <v>147</v>
      </c>
      <c r="L13" s="150"/>
      <c r="M13" s="150"/>
      <c r="N13" s="150"/>
      <c r="O13" s="152">
        <f t="shared" si="1"/>
        <v>147</v>
      </c>
      <c r="P13" s="153">
        <f t="shared" si="0"/>
        <v>147</v>
      </c>
    </row>
    <row r="14" spans="1:16">
      <c r="A14" s="268"/>
      <c r="B14" s="149" t="s">
        <v>423</v>
      </c>
      <c r="C14" s="150">
        <v>1000</v>
      </c>
      <c r="D14" s="150">
        <v>1000</v>
      </c>
      <c r="E14" s="150">
        <v>1000</v>
      </c>
      <c r="F14" s="150">
        <v>1000</v>
      </c>
      <c r="G14" s="150">
        <v>1000</v>
      </c>
      <c r="H14" s="150">
        <v>1000</v>
      </c>
      <c r="I14" s="150">
        <v>1000</v>
      </c>
      <c r="J14" s="150">
        <v>1000</v>
      </c>
      <c r="K14" s="150">
        <v>1000</v>
      </c>
      <c r="L14" s="150">
        <v>1000</v>
      </c>
      <c r="M14" s="150">
        <v>1000</v>
      </c>
      <c r="N14" s="150">
        <v>1000</v>
      </c>
      <c r="O14" s="152">
        <f t="shared" si="1"/>
        <v>12000</v>
      </c>
      <c r="P14" s="153">
        <f t="shared" si="0"/>
        <v>1000</v>
      </c>
    </row>
    <row r="15" spans="1:16">
      <c r="A15" s="268"/>
      <c r="B15" s="149" t="s">
        <v>424</v>
      </c>
      <c r="C15" s="150">
        <v>2000</v>
      </c>
      <c r="D15" s="150">
        <v>2000</v>
      </c>
      <c r="E15" s="150">
        <v>2000</v>
      </c>
      <c r="F15" s="150">
        <v>2000</v>
      </c>
      <c r="G15" s="150">
        <v>2000</v>
      </c>
      <c r="H15" s="150">
        <v>2000</v>
      </c>
      <c r="I15" s="150">
        <v>2000</v>
      </c>
      <c r="J15" s="150">
        <v>2000</v>
      </c>
      <c r="K15" s="150">
        <v>2000</v>
      </c>
      <c r="L15" s="150">
        <v>2000</v>
      </c>
      <c r="M15" s="150">
        <v>2000</v>
      </c>
      <c r="N15" s="150">
        <v>2000</v>
      </c>
      <c r="O15" s="152">
        <f t="shared" si="1"/>
        <v>24000</v>
      </c>
      <c r="P15" s="153">
        <f t="shared" si="0"/>
        <v>2000</v>
      </c>
    </row>
    <row r="16" spans="1:16" ht="14.5">
      <c r="A16" s="268"/>
      <c r="B16" s="148" t="s">
        <v>410</v>
      </c>
      <c r="C16" s="155">
        <f t="shared" ref="C16:P16" si="3">SUM(C8:C15)</f>
        <v>3359</v>
      </c>
      <c r="D16" s="155">
        <f t="shared" si="3"/>
        <v>3568</v>
      </c>
      <c r="E16" s="155">
        <f t="shared" si="3"/>
        <v>3139</v>
      </c>
      <c r="F16" s="155">
        <f t="shared" si="3"/>
        <v>3248</v>
      </c>
      <c r="G16" s="155">
        <f t="shared" si="3"/>
        <v>3332</v>
      </c>
      <c r="H16" s="155">
        <f t="shared" si="3"/>
        <v>3344</v>
      </c>
      <c r="I16" s="155">
        <f t="shared" si="3"/>
        <v>3236</v>
      </c>
      <c r="J16" s="155">
        <f t="shared" si="3"/>
        <v>3475</v>
      </c>
      <c r="K16" s="155">
        <f t="shared" si="3"/>
        <v>3513</v>
      </c>
      <c r="L16" s="155">
        <f t="shared" si="3"/>
        <v>3686</v>
      </c>
      <c r="M16" s="155">
        <f t="shared" si="3"/>
        <v>3439</v>
      </c>
      <c r="N16" s="155">
        <f t="shared" si="3"/>
        <v>3142</v>
      </c>
      <c r="O16" s="155">
        <f t="shared" si="3"/>
        <v>40481</v>
      </c>
      <c r="P16" s="155">
        <f t="shared" si="3"/>
        <v>3511.1944444444443</v>
      </c>
    </row>
  </sheetData>
  <mergeCells count="2">
    <mergeCell ref="A4:A7"/>
    <mergeCell ref="A8:A1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F107A-E391-47AA-A86C-D14530DA2C32}">
  <sheetPr>
    <tabColor rgb="FF00B050"/>
  </sheetPr>
  <dimension ref="A1:H39"/>
  <sheetViews>
    <sheetView workbookViewId="0">
      <pane ySplit="1" topLeftCell="A2" activePane="bottomLeft" state="frozen"/>
      <selection pane="bottomLeft" activeCell="G18" sqref="G18"/>
    </sheetView>
  </sheetViews>
  <sheetFormatPr defaultColWidth="8.81640625" defaultRowHeight="18" customHeight="1"/>
  <cols>
    <col min="1" max="1" width="15.81640625" style="120" bestFit="1" customWidth="1"/>
    <col min="2" max="2" width="20" style="120" bestFit="1" customWidth="1"/>
    <col min="3" max="3" width="14" style="120" bestFit="1" customWidth="1"/>
    <col min="4" max="4" width="14" style="143" customWidth="1"/>
    <col min="5" max="5" width="21.453125" style="120" customWidth="1"/>
    <col min="6" max="6" width="8.1796875" style="120" customWidth="1"/>
    <col min="7" max="7" width="130.81640625" style="120" customWidth="1"/>
    <col min="8" max="8" width="14" style="120" bestFit="1" customWidth="1"/>
    <col min="9" max="16384" width="8.81640625" style="120"/>
  </cols>
  <sheetData>
    <row r="1" spans="1:8" s="116" customFormat="1" ht="18" customHeight="1">
      <c r="A1" s="125" t="s">
        <v>330</v>
      </c>
      <c r="B1" s="126" t="s">
        <v>332</v>
      </c>
      <c r="C1" s="126" t="s">
        <v>385</v>
      </c>
      <c r="D1" s="127" t="s">
        <v>386</v>
      </c>
      <c r="E1" s="127" t="s">
        <v>387</v>
      </c>
      <c r="G1" s="128" t="s">
        <v>388</v>
      </c>
      <c r="H1" s="129" t="s">
        <v>389</v>
      </c>
    </row>
    <row r="2" spans="1:8" ht="18" customHeight="1">
      <c r="A2" s="130"/>
      <c r="B2" s="131" t="s">
        <v>352</v>
      </c>
      <c r="C2" s="132">
        <v>60270</v>
      </c>
      <c r="D2" s="133"/>
      <c r="E2" s="134"/>
      <c r="G2" s="135" t="s">
        <v>390</v>
      </c>
      <c r="H2" s="136"/>
    </row>
    <row r="3" spans="1:8" ht="18" customHeight="1">
      <c r="A3" s="130"/>
      <c r="B3" s="131" t="s">
        <v>354</v>
      </c>
      <c r="C3" s="132">
        <v>39627</v>
      </c>
      <c r="D3" s="133"/>
      <c r="E3" s="134"/>
      <c r="G3" s="135" t="s">
        <v>391</v>
      </c>
      <c r="H3" s="136"/>
    </row>
    <row r="4" spans="1:8" ht="18" customHeight="1">
      <c r="A4" s="130"/>
      <c r="B4" s="131" t="s">
        <v>372</v>
      </c>
      <c r="C4" s="132">
        <v>29726</v>
      </c>
      <c r="D4" s="133"/>
      <c r="E4" s="134"/>
      <c r="G4" s="135" t="s">
        <v>392</v>
      </c>
      <c r="H4" s="136"/>
    </row>
    <row r="5" spans="1:8" ht="18" customHeight="1">
      <c r="A5" s="130"/>
      <c r="B5" s="131" t="s">
        <v>380</v>
      </c>
      <c r="C5" s="132">
        <v>93668</v>
      </c>
      <c r="D5" s="133"/>
      <c r="E5" s="134"/>
      <c r="G5" s="135" t="s">
        <v>393</v>
      </c>
      <c r="H5" s="137"/>
    </row>
    <row r="6" spans="1:8" ht="18" customHeight="1">
      <c r="A6" s="130"/>
      <c r="B6" s="131" t="s">
        <v>382</v>
      </c>
      <c r="C6" s="132">
        <v>135000</v>
      </c>
      <c r="D6" s="133"/>
      <c r="E6" s="134"/>
      <c r="G6" s="135" t="s">
        <v>394</v>
      </c>
      <c r="H6" s="138"/>
    </row>
    <row r="7" spans="1:8" ht="18" customHeight="1">
      <c r="A7" s="130"/>
      <c r="B7" s="131" t="s">
        <v>364</v>
      </c>
      <c r="C7" s="132">
        <v>34808</v>
      </c>
      <c r="D7" s="133"/>
      <c r="E7" s="134"/>
      <c r="G7" s="135" t="s">
        <v>395</v>
      </c>
      <c r="H7" s="137"/>
    </row>
    <row r="8" spans="1:8" ht="18" customHeight="1">
      <c r="A8" s="130"/>
      <c r="B8" s="131" t="s">
        <v>374</v>
      </c>
      <c r="C8" s="132">
        <v>135000</v>
      </c>
      <c r="D8" s="133"/>
      <c r="E8" s="134"/>
      <c r="G8" s="135" t="s">
        <v>396</v>
      </c>
      <c r="H8" s="137"/>
    </row>
    <row r="9" spans="1:8" ht="18" customHeight="1">
      <c r="A9" s="130"/>
      <c r="B9" s="131" t="s">
        <v>362</v>
      </c>
      <c r="C9" s="132">
        <v>45000</v>
      </c>
      <c r="D9" s="133"/>
      <c r="E9" s="134"/>
      <c r="G9" s="139" t="s">
        <v>397</v>
      </c>
      <c r="H9" s="140"/>
    </row>
    <row r="10" spans="1:8" ht="18" customHeight="1">
      <c r="A10" s="130"/>
      <c r="B10" s="131" t="s">
        <v>356</v>
      </c>
      <c r="C10" s="132">
        <v>89500</v>
      </c>
      <c r="D10" s="133"/>
      <c r="E10" s="134"/>
      <c r="G10" s="141" t="s">
        <v>398</v>
      </c>
      <c r="H10" s="137"/>
    </row>
    <row r="11" spans="1:8" ht="18" customHeight="1">
      <c r="A11" s="130"/>
      <c r="B11" s="131" t="s">
        <v>384</v>
      </c>
      <c r="C11" s="132">
        <v>21971</v>
      </c>
      <c r="D11" s="133"/>
      <c r="E11" s="134"/>
      <c r="G11" s="141" t="s">
        <v>399</v>
      </c>
      <c r="H11" s="138"/>
    </row>
    <row r="12" spans="1:8" ht="18" customHeight="1">
      <c r="A12" s="130"/>
      <c r="B12" s="131" t="s">
        <v>334</v>
      </c>
      <c r="C12" s="132">
        <v>80000</v>
      </c>
      <c r="D12" s="133"/>
      <c r="E12" s="134"/>
      <c r="G12" s="141" t="s">
        <v>400</v>
      </c>
      <c r="H12" s="138"/>
    </row>
    <row r="13" spans="1:8" ht="18" customHeight="1">
      <c r="A13" s="130"/>
      <c r="B13" s="131" t="s">
        <v>368</v>
      </c>
      <c r="C13" s="132">
        <v>45117</v>
      </c>
      <c r="D13" s="133"/>
      <c r="E13" s="134"/>
    </row>
    <row r="14" spans="1:8" ht="18" customHeight="1">
      <c r="A14" s="130"/>
      <c r="B14" s="131" t="s">
        <v>376</v>
      </c>
      <c r="C14" s="132">
        <v>50545</v>
      </c>
      <c r="D14" s="133"/>
      <c r="E14" s="134"/>
      <c r="G14" s="142"/>
    </row>
    <row r="15" spans="1:8" ht="18" customHeight="1">
      <c r="A15" s="130"/>
      <c r="B15" s="131" t="s">
        <v>348</v>
      </c>
      <c r="C15" s="132">
        <v>140000</v>
      </c>
      <c r="D15" s="133"/>
      <c r="E15" s="134"/>
      <c r="G15" s="142"/>
    </row>
    <row r="16" spans="1:8" ht="18" customHeight="1">
      <c r="A16" s="130"/>
      <c r="B16" s="131" t="s">
        <v>336</v>
      </c>
      <c r="C16" s="132">
        <v>111000</v>
      </c>
      <c r="D16" s="133"/>
      <c r="E16" s="134"/>
      <c r="G16" s="142"/>
    </row>
    <row r="17" spans="1:7" ht="18" customHeight="1">
      <c r="A17" s="130"/>
      <c r="B17" s="131" t="s">
        <v>366</v>
      </c>
      <c r="C17" s="132">
        <v>68357</v>
      </c>
      <c r="D17" s="133"/>
      <c r="E17" s="134"/>
      <c r="G17" s="142"/>
    </row>
    <row r="18" spans="1:7" ht="18" customHeight="1">
      <c r="A18" s="130"/>
      <c r="B18" s="131" t="s">
        <v>342</v>
      </c>
      <c r="C18" s="132">
        <v>51800</v>
      </c>
      <c r="D18" s="133"/>
      <c r="E18" s="134"/>
      <c r="G18" s="142"/>
    </row>
    <row r="19" spans="1:7" ht="18" customHeight="1">
      <c r="A19" s="130"/>
      <c r="B19" s="131" t="s">
        <v>350</v>
      </c>
      <c r="C19" s="132">
        <v>97000</v>
      </c>
      <c r="D19" s="133"/>
      <c r="E19" s="134"/>
      <c r="G19" s="142"/>
    </row>
    <row r="20" spans="1:7" ht="18" customHeight="1">
      <c r="G20" s="142"/>
    </row>
    <row r="21" spans="1:7" ht="18" customHeight="1">
      <c r="G21" s="142"/>
    </row>
    <row r="22" spans="1:7" ht="18" customHeight="1">
      <c r="G22" s="142"/>
    </row>
    <row r="23" spans="1:7" ht="18" customHeight="1">
      <c r="G23" s="142"/>
    </row>
    <row r="24" spans="1:7" ht="18" customHeight="1">
      <c r="G24" s="142"/>
    </row>
    <row r="25" spans="1:7" ht="18" customHeight="1">
      <c r="G25" s="142"/>
    </row>
    <row r="26" spans="1:7" ht="18" customHeight="1">
      <c r="G26" s="142"/>
    </row>
    <row r="27" spans="1:7" ht="18" customHeight="1">
      <c r="G27" s="142"/>
    </row>
    <row r="29" spans="1:7" ht="18" customHeight="1">
      <c r="D29" s="120"/>
    </row>
    <row r="30" spans="1:7" ht="18" customHeight="1">
      <c r="D30" s="120"/>
    </row>
    <row r="31" spans="1:7" ht="18" customHeight="1">
      <c r="D31" s="120"/>
    </row>
    <row r="32" spans="1:7" ht="18" customHeight="1">
      <c r="D32" s="120"/>
    </row>
    <row r="33" spans="4:4" ht="18" customHeight="1">
      <c r="D33" s="120"/>
    </row>
    <row r="34" spans="4:4" ht="18" customHeight="1">
      <c r="D34" s="120"/>
    </row>
    <row r="35" spans="4:4" ht="18" customHeight="1">
      <c r="D35" s="120"/>
    </row>
    <row r="36" spans="4:4" ht="18" customHeight="1">
      <c r="D36" s="120"/>
    </row>
    <row r="37" spans="4:4" ht="18" customHeight="1">
      <c r="D37" s="120"/>
    </row>
    <row r="38" spans="4:4" ht="18" customHeight="1">
      <c r="D38" s="120"/>
    </row>
    <row r="39" spans="4:4" ht="18" customHeight="1">
      <c r="D39" s="120"/>
    </row>
  </sheetData>
  <dataValidations count="1">
    <dataValidation type="list" allowBlank="1" showInputMessage="1" showErrorMessage="1" sqref="H10" xr:uid="{61FF8183-6492-415B-AC90-BC077B1D72FC}">
      <formula1>#REF!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E37E-300A-40A9-89BC-DC7BCFF56047}">
  <sheetPr>
    <tabColor rgb="FF00B050"/>
  </sheetPr>
  <dimension ref="A1:C39"/>
  <sheetViews>
    <sheetView workbookViewId="0">
      <pane ySplit="1" topLeftCell="A2" activePane="bottomLeft" state="frozen"/>
      <selection pane="bottomLeft" activeCell="C24" sqref="C24"/>
    </sheetView>
  </sheetViews>
  <sheetFormatPr defaultColWidth="8.81640625" defaultRowHeight="15.75" customHeight="1"/>
  <cols>
    <col min="1" max="4" width="21.453125" style="120" customWidth="1"/>
    <col min="5" max="16384" width="8.81640625" style="120"/>
  </cols>
  <sheetData>
    <row r="1" spans="1:3" s="116" customFormat="1" ht="21.75" customHeight="1">
      <c r="A1" s="113" t="s">
        <v>330</v>
      </c>
      <c r="B1" s="114" t="s">
        <v>331</v>
      </c>
      <c r="C1" s="115" t="s">
        <v>332</v>
      </c>
    </row>
    <row r="2" spans="1:3" ht="15.75" customHeight="1">
      <c r="A2" s="117" t="s">
        <v>333</v>
      </c>
      <c r="B2" s="118">
        <v>0.18</v>
      </c>
      <c r="C2" s="119" t="s">
        <v>334</v>
      </c>
    </row>
    <row r="3" spans="1:3" ht="15.75" customHeight="1">
      <c r="A3" s="117" t="s">
        <v>335</v>
      </c>
      <c r="B3" s="118">
        <v>0.09</v>
      </c>
      <c r="C3" s="119" t="s">
        <v>336</v>
      </c>
    </row>
    <row r="4" spans="1:3" ht="15.75" customHeight="1">
      <c r="A4" s="117" t="s">
        <v>337</v>
      </c>
      <c r="B4" s="118">
        <v>0.17</v>
      </c>
      <c r="C4" s="119" t="s">
        <v>338</v>
      </c>
    </row>
    <row r="5" spans="1:3" ht="15.75" customHeight="1">
      <c r="A5" s="117" t="s">
        <v>339</v>
      </c>
      <c r="B5" s="118">
        <v>0.24</v>
      </c>
      <c r="C5" s="119" t="s">
        <v>340</v>
      </c>
    </row>
    <row r="6" spans="1:3" ht="15.75" customHeight="1">
      <c r="A6" s="117" t="s">
        <v>341</v>
      </c>
      <c r="B6" s="118">
        <v>0.19</v>
      </c>
      <c r="C6" s="119" t="s">
        <v>342</v>
      </c>
    </row>
    <row r="7" spans="1:3" ht="15.75" customHeight="1">
      <c r="A7" s="117" t="s">
        <v>343</v>
      </c>
      <c r="B7" s="118">
        <v>0.21</v>
      </c>
      <c r="C7" s="119" t="s">
        <v>344</v>
      </c>
    </row>
    <row r="8" spans="1:3" ht="15.75" customHeight="1">
      <c r="A8" s="117" t="s">
        <v>345</v>
      </c>
      <c r="B8" s="118">
        <v>0.2</v>
      </c>
      <c r="C8" s="119" t="s">
        <v>346</v>
      </c>
    </row>
    <row r="9" spans="1:3" ht="15.75" customHeight="1">
      <c r="A9" s="117" t="s">
        <v>347</v>
      </c>
      <c r="B9" s="118">
        <v>0.19</v>
      </c>
      <c r="C9" s="119" t="s">
        <v>348</v>
      </c>
    </row>
    <row r="10" spans="1:3" ht="15.75" customHeight="1">
      <c r="A10" s="117" t="s">
        <v>349</v>
      </c>
      <c r="B10" s="118">
        <v>0.19</v>
      </c>
      <c r="C10" s="119" t="s">
        <v>350</v>
      </c>
    </row>
    <row r="11" spans="1:3" ht="15.75" customHeight="1">
      <c r="A11" s="117" t="s">
        <v>351</v>
      </c>
      <c r="B11" s="118">
        <v>0.24</v>
      </c>
      <c r="C11" s="119" t="s">
        <v>352</v>
      </c>
    </row>
    <row r="12" spans="1:3" ht="15.75" customHeight="1">
      <c r="A12" s="117" t="s">
        <v>353</v>
      </c>
      <c r="B12" s="118">
        <v>0.21</v>
      </c>
      <c r="C12" s="119" t="s">
        <v>354</v>
      </c>
    </row>
    <row r="13" spans="1:3" ht="15.75" customHeight="1">
      <c r="A13" s="117" t="s">
        <v>355</v>
      </c>
      <c r="B13" s="118">
        <v>0.17</v>
      </c>
      <c r="C13" s="119" t="s">
        <v>356</v>
      </c>
    </row>
    <row r="14" spans="1:3" ht="15.75" customHeight="1">
      <c r="A14" s="117" t="s">
        <v>357</v>
      </c>
      <c r="B14" s="118">
        <v>0.25</v>
      </c>
      <c r="C14" s="119" t="s">
        <v>358</v>
      </c>
    </row>
    <row r="15" spans="1:3" ht="15.75" customHeight="1">
      <c r="A15" s="117" t="s">
        <v>359</v>
      </c>
      <c r="B15" s="118">
        <v>0.18</v>
      </c>
      <c r="C15" s="119" t="s">
        <v>360</v>
      </c>
    </row>
    <row r="16" spans="1:3" ht="15.75" customHeight="1">
      <c r="A16" s="117" t="s">
        <v>361</v>
      </c>
      <c r="B16" s="118">
        <v>0.1</v>
      </c>
      <c r="C16" s="119" t="s">
        <v>362</v>
      </c>
    </row>
    <row r="17" spans="1:3" ht="15.75" customHeight="1">
      <c r="A17" s="117" t="s">
        <v>363</v>
      </c>
      <c r="B17" s="118">
        <v>0.1</v>
      </c>
      <c r="C17" s="119" t="s">
        <v>364</v>
      </c>
    </row>
    <row r="18" spans="1:3" ht="15.75" customHeight="1">
      <c r="A18" s="117" t="s">
        <v>365</v>
      </c>
      <c r="B18" s="118">
        <v>0.25</v>
      </c>
      <c r="C18" s="119" t="s">
        <v>366</v>
      </c>
    </row>
    <row r="19" spans="1:3" ht="15.75" customHeight="1">
      <c r="A19" s="117" t="s">
        <v>367</v>
      </c>
      <c r="B19" s="118">
        <v>0.14000000000000001</v>
      </c>
      <c r="C19" s="119" t="s">
        <v>368</v>
      </c>
    </row>
    <row r="20" spans="1:3" ht="15.75" customHeight="1">
      <c r="A20" s="117" t="s">
        <v>369</v>
      </c>
      <c r="B20" s="118">
        <v>0.23</v>
      </c>
      <c r="C20" s="119" t="s">
        <v>370</v>
      </c>
    </row>
    <row r="21" spans="1:3" ht="15.75" customHeight="1">
      <c r="A21" s="117" t="s">
        <v>371</v>
      </c>
      <c r="B21" s="118">
        <v>0.14000000000000001</v>
      </c>
      <c r="C21" s="119" t="s">
        <v>372</v>
      </c>
    </row>
    <row r="22" spans="1:3" ht="15.75" customHeight="1">
      <c r="A22" s="117" t="s">
        <v>373</v>
      </c>
      <c r="B22" s="118">
        <v>0.19</v>
      </c>
      <c r="C22" s="119" t="s">
        <v>374</v>
      </c>
    </row>
    <row r="23" spans="1:3" ht="15.75" customHeight="1">
      <c r="A23" s="117" t="s">
        <v>375</v>
      </c>
      <c r="B23" s="118">
        <v>0.21</v>
      </c>
      <c r="C23" s="119" t="s">
        <v>376</v>
      </c>
    </row>
    <row r="24" spans="1:3" ht="15.75" customHeight="1">
      <c r="A24" s="117" t="s">
        <v>377</v>
      </c>
      <c r="B24" s="118">
        <v>0.25</v>
      </c>
      <c r="C24" s="119" t="s">
        <v>378</v>
      </c>
    </row>
    <row r="25" spans="1:3" ht="15.75" customHeight="1">
      <c r="A25" s="117" t="s">
        <v>379</v>
      </c>
      <c r="B25" s="118">
        <v>0.23</v>
      </c>
      <c r="C25" s="119" t="s">
        <v>380</v>
      </c>
    </row>
    <row r="26" spans="1:3" ht="15.75" customHeight="1">
      <c r="A26" s="117" t="s">
        <v>381</v>
      </c>
      <c r="B26" s="118">
        <v>0.25</v>
      </c>
      <c r="C26" s="119" t="s">
        <v>382</v>
      </c>
    </row>
    <row r="27" spans="1:3" ht="15.75" customHeight="1">
      <c r="A27" s="121" t="s">
        <v>383</v>
      </c>
      <c r="B27" s="122">
        <v>0.27</v>
      </c>
      <c r="C27" s="123" t="s">
        <v>384</v>
      </c>
    </row>
    <row r="29" spans="1:3" ht="18" customHeight="1">
      <c r="A29" s="124"/>
    </row>
    <row r="30" spans="1:3" ht="18.75" customHeight="1">
      <c r="A30" s="124"/>
    </row>
    <row r="31" spans="1:3" ht="18.75" customHeight="1">
      <c r="A31" s="124"/>
    </row>
    <row r="32" spans="1:3" ht="18.75" customHeight="1">
      <c r="A32" s="124"/>
    </row>
    <row r="33" spans="1:1" ht="18.75" customHeight="1">
      <c r="A33" s="124"/>
    </row>
    <row r="34" spans="1:1" ht="18.75" customHeight="1">
      <c r="A34" s="124"/>
    </row>
    <row r="35" spans="1:1" ht="18.75" customHeight="1">
      <c r="A35" s="124"/>
    </row>
    <row r="36" spans="1:1" ht="18.75" customHeight="1">
      <c r="A36" s="124"/>
    </row>
    <row r="37" spans="1:1" ht="18.75" customHeight="1">
      <c r="A37" s="124"/>
    </row>
    <row r="38" spans="1:1" ht="18.75" customHeight="1">
      <c r="A38" s="124"/>
    </row>
    <row r="39" spans="1:1" ht="18.75" customHeight="1">
      <c r="A39" s="12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E157-CD2F-4B60-B760-D3679D61ABD5}">
  <sheetPr>
    <tabColor rgb="FF00B050"/>
  </sheetPr>
  <dimension ref="A1:H38"/>
  <sheetViews>
    <sheetView workbookViewId="0">
      <selection activeCell="B14" sqref="B14"/>
    </sheetView>
  </sheetViews>
  <sheetFormatPr defaultColWidth="9.1796875" defaultRowHeight="18" customHeight="1"/>
  <cols>
    <col min="1" max="1" width="14.54296875" style="111" bestFit="1" customWidth="1"/>
    <col min="2" max="2" width="18.81640625" style="112" customWidth="1"/>
    <col min="3" max="3" width="15.54296875" style="112" customWidth="1"/>
    <col min="4" max="4" width="9.1796875" style="41"/>
    <col min="5" max="6" width="13.1796875" style="27" customWidth="1"/>
    <col min="7" max="7" width="2.453125" style="41" customWidth="1"/>
    <col min="8" max="8" width="96.1796875" style="27" bestFit="1" customWidth="1"/>
    <col min="9" max="16384" width="9.1796875" style="27"/>
  </cols>
  <sheetData>
    <row r="1" spans="1:8" ht="18" customHeight="1">
      <c r="A1" s="98" t="s">
        <v>310</v>
      </c>
      <c r="B1" s="98" t="s">
        <v>311</v>
      </c>
      <c r="C1" s="99" t="s">
        <v>312</v>
      </c>
      <c r="D1" s="27"/>
      <c r="E1" s="100" t="s">
        <v>310</v>
      </c>
      <c r="F1" s="101">
        <v>2000</v>
      </c>
      <c r="H1" s="41"/>
    </row>
    <row r="2" spans="1:8" ht="18" customHeight="1">
      <c r="A2" s="102">
        <v>1000</v>
      </c>
      <c r="B2" s="103" t="s">
        <v>313</v>
      </c>
      <c r="C2" s="104" t="s">
        <v>314</v>
      </c>
      <c r="D2" s="27"/>
      <c r="E2" s="100" t="s">
        <v>311</v>
      </c>
      <c r="F2" s="105"/>
      <c r="H2" s="106" t="s">
        <v>315</v>
      </c>
    </row>
    <row r="3" spans="1:8" ht="18" customHeight="1">
      <c r="A3" s="102">
        <v>1001</v>
      </c>
      <c r="B3" s="103" t="s">
        <v>316</v>
      </c>
      <c r="C3" s="104" t="s">
        <v>317</v>
      </c>
      <c r="D3" s="27"/>
      <c r="E3" s="100" t="s">
        <v>312</v>
      </c>
      <c r="F3" s="105"/>
      <c r="H3" s="106" t="s">
        <v>318</v>
      </c>
    </row>
    <row r="4" spans="1:8" ht="18" customHeight="1">
      <c r="A4" s="102">
        <v>1002</v>
      </c>
      <c r="B4" s="103" t="s">
        <v>316</v>
      </c>
      <c r="C4" s="104" t="s">
        <v>317</v>
      </c>
      <c r="D4" s="27"/>
    </row>
    <row r="5" spans="1:8" ht="18" customHeight="1">
      <c r="A5" s="102">
        <v>1003</v>
      </c>
      <c r="B5" s="103" t="s">
        <v>316</v>
      </c>
      <c r="C5" s="104" t="s">
        <v>319</v>
      </c>
      <c r="D5" s="27"/>
      <c r="E5" s="105"/>
      <c r="F5" s="105"/>
      <c r="H5" s="106" t="s">
        <v>320</v>
      </c>
    </row>
    <row r="6" spans="1:8" ht="18" customHeight="1">
      <c r="A6" s="102">
        <v>1004</v>
      </c>
      <c r="B6" s="103" t="s">
        <v>316</v>
      </c>
      <c r="C6" s="104" t="s">
        <v>321</v>
      </c>
      <c r="D6" s="27"/>
      <c r="H6" s="106" t="s">
        <v>322</v>
      </c>
    </row>
    <row r="7" spans="1:8" ht="18" customHeight="1">
      <c r="A7" s="102">
        <v>1005</v>
      </c>
      <c r="B7" s="103" t="s">
        <v>316</v>
      </c>
      <c r="C7" s="104" t="s">
        <v>321</v>
      </c>
      <c r="D7" s="27"/>
      <c r="H7" s="106" t="s">
        <v>323</v>
      </c>
    </row>
    <row r="8" spans="1:8" ht="18" customHeight="1">
      <c r="A8" s="102">
        <v>1006</v>
      </c>
      <c r="B8" s="103" t="s">
        <v>316</v>
      </c>
      <c r="C8" s="104" t="s">
        <v>319</v>
      </c>
      <c r="D8" s="27"/>
    </row>
    <row r="9" spans="1:8" ht="18" customHeight="1">
      <c r="A9" s="102">
        <v>1007</v>
      </c>
      <c r="B9" s="103" t="s">
        <v>313</v>
      </c>
      <c r="C9" s="104" t="s">
        <v>314</v>
      </c>
      <c r="D9" s="27"/>
    </row>
    <row r="10" spans="1:8" ht="18" customHeight="1">
      <c r="A10" s="102">
        <v>1008</v>
      </c>
      <c r="B10" s="103" t="s">
        <v>316</v>
      </c>
      <c r="C10" s="104" t="s">
        <v>319</v>
      </c>
      <c r="D10" s="27"/>
    </row>
    <row r="11" spans="1:8" ht="18" customHeight="1">
      <c r="A11" s="102">
        <v>1009</v>
      </c>
      <c r="B11" s="103" t="s">
        <v>316</v>
      </c>
      <c r="C11" s="104" t="s">
        <v>321</v>
      </c>
      <c r="D11" s="27"/>
    </row>
    <row r="12" spans="1:8" ht="18" customHeight="1">
      <c r="A12" s="102">
        <v>1010</v>
      </c>
      <c r="B12" s="103" t="s">
        <v>324</v>
      </c>
      <c r="C12" s="104" t="s">
        <v>325</v>
      </c>
      <c r="D12" s="27"/>
    </row>
    <row r="13" spans="1:8" ht="18" customHeight="1">
      <c r="A13" s="102">
        <v>1011</v>
      </c>
      <c r="B13" s="103" t="s">
        <v>324</v>
      </c>
      <c r="C13" s="104" t="s">
        <v>325</v>
      </c>
      <c r="D13" s="27"/>
    </row>
    <row r="14" spans="1:8" ht="18" customHeight="1">
      <c r="A14" s="102">
        <v>1012</v>
      </c>
      <c r="B14" s="103" t="s">
        <v>324</v>
      </c>
      <c r="C14" s="104" t="s">
        <v>325</v>
      </c>
      <c r="D14" s="27"/>
    </row>
    <row r="15" spans="1:8" ht="18" customHeight="1">
      <c r="A15" s="102">
        <v>1013</v>
      </c>
      <c r="B15" s="103" t="s">
        <v>313</v>
      </c>
      <c r="C15" s="104" t="s">
        <v>314</v>
      </c>
      <c r="D15" s="27"/>
    </row>
    <row r="16" spans="1:8" ht="18" customHeight="1">
      <c r="A16" s="102">
        <v>1014</v>
      </c>
      <c r="B16" s="103" t="s">
        <v>324</v>
      </c>
      <c r="C16" s="104" t="s">
        <v>326</v>
      </c>
      <c r="D16" s="27"/>
    </row>
    <row r="17" spans="1:4" ht="18" customHeight="1">
      <c r="A17" s="102">
        <v>1015</v>
      </c>
      <c r="B17" s="103" t="s">
        <v>324</v>
      </c>
      <c r="C17" s="104" t="s">
        <v>326</v>
      </c>
      <c r="D17" s="27"/>
    </row>
    <row r="18" spans="1:4" ht="18" customHeight="1">
      <c r="A18" s="102">
        <v>1016</v>
      </c>
      <c r="B18" s="103" t="s">
        <v>324</v>
      </c>
      <c r="C18" s="104" t="s">
        <v>325</v>
      </c>
      <c r="D18" s="27"/>
    </row>
    <row r="19" spans="1:4" ht="18" customHeight="1">
      <c r="A19" s="102">
        <v>1017</v>
      </c>
      <c r="B19" s="103" t="s">
        <v>327</v>
      </c>
      <c r="C19" s="104" t="s">
        <v>325</v>
      </c>
      <c r="D19" s="27"/>
    </row>
    <row r="20" spans="1:4" ht="18" customHeight="1">
      <c r="A20" s="102">
        <v>1018</v>
      </c>
      <c r="B20" s="103" t="s">
        <v>327</v>
      </c>
      <c r="C20" s="104" t="s">
        <v>325</v>
      </c>
      <c r="D20" s="27"/>
    </row>
    <row r="21" spans="1:4" ht="18" customHeight="1">
      <c r="A21" s="102">
        <v>1019</v>
      </c>
      <c r="B21" s="103" t="s">
        <v>328</v>
      </c>
      <c r="C21" s="107">
        <v>7.8</v>
      </c>
      <c r="D21" s="27"/>
    </row>
    <row r="22" spans="1:4" ht="18" customHeight="1">
      <c r="A22" s="102">
        <v>1020</v>
      </c>
      <c r="B22" s="103" t="s">
        <v>329</v>
      </c>
      <c r="C22" s="104" t="s">
        <v>326</v>
      </c>
      <c r="D22" s="27"/>
    </row>
    <row r="23" spans="1:4" ht="18" customHeight="1">
      <c r="A23" s="102">
        <v>1021</v>
      </c>
      <c r="B23" s="103" t="s">
        <v>313</v>
      </c>
      <c r="C23" s="104" t="s">
        <v>314</v>
      </c>
      <c r="D23" s="27"/>
    </row>
    <row r="24" spans="1:4" ht="18" customHeight="1">
      <c r="A24" s="102">
        <v>1022</v>
      </c>
      <c r="B24" s="103" t="s">
        <v>329</v>
      </c>
      <c r="C24" s="104" t="s">
        <v>326</v>
      </c>
      <c r="D24" s="27"/>
    </row>
    <row r="25" spans="1:4" ht="18" customHeight="1">
      <c r="A25" s="102">
        <v>1023</v>
      </c>
      <c r="B25" s="103" t="s">
        <v>329</v>
      </c>
      <c r="C25" s="104" t="s">
        <v>326</v>
      </c>
      <c r="D25" s="27"/>
    </row>
    <row r="26" spans="1:4" ht="18" customHeight="1">
      <c r="A26" s="102">
        <v>1024</v>
      </c>
      <c r="B26" s="103" t="s">
        <v>329</v>
      </c>
      <c r="C26" s="104" t="s">
        <v>326</v>
      </c>
      <c r="D26" s="27"/>
    </row>
    <row r="27" spans="1:4" ht="18" customHeight="1">
      <c r="A27" s="102">
        <v>1025</v>
      </c>
      <c r="B27" s="103" t="s">
        <v>329</v>
      </c>
      <c r="C27" s="104" t="s">
        <v>314</v>
      </c>
      <c r="D27" s="27"/>
    </row>
    <row r="28" spans="1:4" ht="18" customHeight="1">
      <c r="A28" s="102">
        <v>1026</v>
      </c>
      <c r="B28" s="103" t="s">
        <v>313</v>
      </c>
      <c r="C28" s="104" t="s">
        <v>314</v>
      </c>
      <c r="D28" s="27"/>
    </row>
    <row r="29" spans="1:4" ht="18" customHeight="1">
      <c r="A29" s="102">
        <v>1027</v>
      </c>
      <c r="B29" s="103" t="s">
        <v>313</v>
      </c>
      <c r="C29" s="104" t="s">
        <v>326</v>
      </c>
      <c r="D29" s="27"/>
    </row>
    <row r="30" spans="1:4" ht="18" customHeight="1">
      <c r="A30" s="102">
        <v>1028</v>
      </c>
      <c r="B30" s="103" t="s">
        <v>313</v>
      </c>
      <c r="C30" s="104" t="s">
        <v>326</v>
      </c>
      <c r="D30" s="27"/>
    </row>
    <row r="31" spans="1:4" ht="18" customHeight="1">
      <c r="A31" s="102">
        <v>1029</v>
      </c>
      <c r="B31" s="103" t="s">
        <v>313</v>
      </c>
      <c r="C31" s="104" t="s">
        <v>326</v>
      </c>
      <c r="D31" s="27"/>
    </row>
    <row r="32" spans="1:4" ht="18" customHeight="1">
      <c r="A32" s="102">
        <v>1030</v>
      </c>
      <c r="B32" s="103" t="s">
        <v>329</v>
      </c>
      <c r="C32" s="104" t="s">
        <v>314</v>
      </c>
      <c r="D32" s="27"/>
    </row>
    <row r="33" spans="1:4" ht="18" customHeight="1">
      <c r="A33" s="102">
        <v>1031</v>
      </c>
      <c r="B33" s="103" t="s">
        <v>329</v>
      </c>
      <c r="C33" s="104" t="s">
        <v>314</v>
      </c>
      <c r="D33" s="27"/>
    </row>
    <row r="34" spans="1:4" ht="18" customHeight="1">
      <c r="A34" s="102">
        <v>1032</v>
      </c>
      <c r="B34" s="103" t="s">
        <v>313</v>
      </c>
      <c r="C34" s="104" t="s">
        <v>314</v>
      </c>
      <c r="D34" s="27"/>
    </row>
    <row r="35" spans="1:4" ht="18" customHeight="1">
      <c r="A35" s="102">
        <v>1033</v>
      </c>
      <c r="B35" s="103" t="s">
        <v>313</v>
      </c>
      <c r="C35" s="104" t="s">
        <v>314</v>
      </c>
      <c r="D35" s="27"/>
    </row>
    <row r="36" spans="1:4" ht="18" customHeight="1">
      <c r="A36" s="102">
        <v>1034</v>
      </c>
      <c r="B36" s="103" t="s">
        <v>327</v>
      </c>
      <c r="C36" s="104" t="s">
        <v>314</v>
      </c>
      <c r="D36" s="27"/>
    </row>
    <row r="37" spans="1:4" ht="18" customHeight="1">
      <c r="A37" s="102">
        <v>1035</v>
      </c>
      <c r="B37" s="103" t="s">
        <v>327</v>
      </c>
      <c r="C37" s="104" t="s">
        <v>314</v>
      </c>
      <c r="D37" s="27"/>
    </row>
    <row r="38" spans="1:4" ht="18" customHeight="1">
      <c r="A38" s="108"/>
      <c r="B38" s="109"/>
      <c r="C38" s="110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9195-13CB-4074-B87A-835938E95025}">
  <sheetPr>
    <tabColor rgb="FF00B050"/>
  </sheetPr>
  <dimension ref="A1:O21"/>
  <sheetViews>
    <sheetView zoomScale="110" zoomScaleNormal="110" workbookViewId="0">
      <selection activeCell="D18" sqref="D18"/>
    </sheetView>
  </sheetViews>
  <sheetFormatPr defaultRowHeight="17.25" customHeight="1"/>
  <cols>
    <col min="1" max="2" width="15.54296875" style="41" customWidth="1"/>
    <col min="3" max="3" width="16.26953125" style="41" customWidth="1"/>
    <col min="4" max="5" width="8.7265625" style="41"/>
    <col min="6" max="6" width="11.26953125" style="41" bestFit="1" customWidth="1"/>
    <col min="7" max="7" width="12.26953125" style="41" bestFit="1" customWidth="1"/>
    <col min="8" max="8" width="11.81640625" style="41" bestFit="1" customWidth="1"/>
    <col min="9" max="9" width="8.7265625" style="41"/>
    <col min="10" max="11" width="11.26953125" style="41" bestFit="1" customWidth="1"/>
    <col min="12" max="12" width="11.81640625" style="97" bestFit="1" customWidth="1"/>
    <col min="13" max="16384" width="8.7265625" style="41"/>
  </cols>
  <sheetData>
    <row r="1" spans="1:15" s="30" customFormat="1" ht="20.25" customHeight="1">
      <c r="A1" s="44" t="s">
        <v>52</v>
      </c>
      <c r="B1" s="44" t="s">
        <v>53</v>
      </c>
      <c r="C1" s="44" t="s">
        <v>54</v>
      </c>
      <c r="F1" s="269" t="s">
        <v>307</v>
      </c>
      <c r="G1" s="269"/>
      <c r="H1" s="41"/>
    </row>
    <row r="2" spans="1:15" ht="17.25" customHeight="1">
      <c r="A2" s="46">
        <v>1234567</v>
      </c>
      <c r="B2" s="47">
        <v>5.69</v>
      </c>
      <c r="C2" s="95"/>
      <c r="F2" s="96" t="s">
        <v>308</v>
      </c>
      <c r="G2" s="96" t="s">
        <v>51</v>
      </c>
      <c r="K2" s="97"/>
      <c r="L2" s="41"/>
    </row>
    <row r="3" spans="1:15" ht="17.25" customHeight="1">
      <c r="A3" s="46">
        <v>1234568</v>
      </c>
      <c r="B3" s="47">
        <v>55220</v>
      </c>
      <c r="C3" s="95"/>
      <c r="F3" s="47">
        <v>0</v>
      </c>
      <c r="G3" s="29">
        <v>0.02</v>
      </c>
      <c r="K3" s="97"/>
      <c r="L3" s="41"/>
    </row>
    <row r="4" spans="1:15" ht="17.25" customHeight="1">
      <c r="A4" s="46">
        <v>1234569</v>
      </c>
      <c r="B4" s="47">
        <v>4500</v>
      </c>
      <c r="C4" s="95"/>
      <c r="F4" s="47">
        <v>1000</v>
      </c>
      <c r="G4" s="29">
        <v>0.03</v>
      </c>
      <c r="K4" s="97"/>
      <c r="L4" s="41"/>
    </row>
    <row r="5" spans="1:15" ht="17.25" customHeight="1">
      <c r="A5" s="46">
        <v>1234570</v>
      </c>
      <c r="B5" s="28">
        <v>22000</v>
      </c>
      <c r="C5" s="95"/>
      <c r="F5" s="47">
        <v>5000</v>
      </c>
      <c r="G5" s="29">
        <v>0.04</v>
      </c>
      <c r="K5" s="97"/>
      <c r="L5" s="41"/>
    </row>
    <row r="6" spans="1:15" ht="17.25" customHeight="1">
      <c r="A6" s="46">
        <v>1234571</v>
      </c>
      <c r="B6" s="28">
        <v>10000</v>
      </c>
      <c r="C6" s="95"/>
      <c r="F6" s="47">
        <v>20000</v>
      </c>
      <c r="G6" s="29">
        <v>0.05</v>
      </c>
      <c r="K6" s="97"/>
      <c r="L6" s="41"/>
    </row>
    <row r="7" spans="1:15" ht="17.25" customHeight="1">
      <c r="A7" s="46">
        <v>1234572</v>
      </c>
      <c r="B7" s="28">
        <v>3200</v>
      </c>
      <c r="C7" s="95"/>
    </row>
    <row r="8" spans="1:15" ht="17.25" customHeight="1">
      <c r="A8" s="46">
        <v>1234573</v>
      </c>
      <c r="B8" s="28">
        <v>560</v>
      </c>
      <c r="C8" s="95"/>
      <c r="F8" s="270" t="s">
        <v>309</v>
      </c>
      <c r="G8" s="270"/>
      <c r="H8" s="270"/>
      <c r="I8" s="270"/>
      <c r="J8" s="270"/>
      <c r="K8" s="270"/>
      <c r="L8" s="270"/>
      <c r="M8" s="270"/>
      <c r="N8" s="270"/>
      <c r="O8" s="270"/>
    </row>
    <row r="9" spans="1:15" ht="17.25" customHeight="1">
      <c r="A9" s="46">
        <v>1234574</v>
      </c>
      <c r="B9" s="28">
        <v>66</v>
      </c>
      <c r="C9" s="95"/>
    </row>
    <row r="10" spans="1:15" ht="17.25" customHeight="1">
      <c r="A10" s="46">
        <v>1234575</v>
      </c>
      <c r="B10" s="28">
        <v>300</v>
      </c>
      <c r="C10" s="95"/>
    </row>
    <row r="11" spans="1:15" ht="17.25" customHeight="1">
      <c r="A11" s="46">
        <v>1234576</v>
      </c>
      <c r="B11" s="28">
        <v>699</v>
      </c>
      <c r="C11" s="95"/>
    </row>
    <row r="12" spans="1:15" ht="17.25" customHeight="1">
      <c r="A12" s="46">
        <v>1234577</v>
      </c>
      <c r="B12" s="28">
        <v>450</v>
      </c>
      <c r="C12" s="95"/>
    </row>
    <row r="13" spans="1:15" ht="17.25" customHeight="1">
      <c r="A13" s="46">
        <v>1234578</v>
      </c>
      <c r="B13" s="28">
        <v>50</v>
      </c>
      <c r="C13" s="95"/>
    </row>
    <row r="14" spans="1:15" ht="17.25" customHeight="1">
      <c r="A14" s="46">
        <v>1234579</v>
      </c>
      <c r="B14" s="28">
        <v>22</v>
      </c>
      <c r="C14" s="95"/>
    </row>
    <row r="15" spans="1:15" ht="17.25" customHeight="1">
      <c r="A15" s="46">
        <v>1234580</v>
      </c>
      <c r="B15" s="28">
        <v>30</v>
      </c>
      <c r="C15" s="95"/>
    </row>
    <row r="16" spans="1:15" ht="17.25" customHeight="1">
      <c r="A16" s="46">
        <v>1234581</v>
      </c>
      <c r="B16" s="28">
        <v>89</v>
      </c>
      <c r="C16" s="95"/>
    </row>
    <row r="17" spans="1:3" ht="17.25" customHeight="1">
      <c r="A17" s="46">
        <v>1234582</v>
      </c>
      <c r="B17" s="28">
        <v>300</v>
      </c>
      <c r="C17" s="95"/>
    </row>
    <row r="18" spans="1:3" ht="17.25" customHeight="1">
      <c r="A18" s="46">
        <v>1234583</v>
      </c>
      <c r="B18" s="28">
        <v>200</v>
      </c>
      <c r="C18" s="95"/>
    </row>
    <row r="19" spans="1:3" ht="17.25" customHeight="1">
      <c r="A19" s="46">
        <v>1234584</v>
      </c>
      <c r="B19" s="28">
        <v>223</v>
      </c>
      <c r="C19" s="95"/>
    </row>
    <row r="20" spans="1:3" ht="17.25" customHeight="1">
      <c r="A20" s="46">
        <v>1234585</v>
      </c>
      <c r="B20" s="28">
        <v>30000</v>
      </c>
      <c r="C20" s="95"/>
    </row>
    <row r="21" spans="1:3" ht="17.25" customHeight="1">
      <c r="A21" s="46">
        <v>1234586</v>
      </c>
      <c r="B21" s="28">
        <v>79000</v>
      </c>
      <c r="C21" s="95"/>
    </row>
  </sheetData>
  <mergeCells count="2">
    <mergeCell ref="F1:G1"/>
    <mergeCell ref="F8:O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308D-D282-405E-8D75-BFFAADDF03CB}">
  <sheetPr>
    <tabColor rgb="FFFFFF00"/>
  </sheetPr>
  <dimension ref="A1:F43"/>
  <sheetViews>
    <sheetView workbookViewId="0">
      <selection activeCell="D5" sqref="D5"/>
    </sheetView>
  </sheetViews>
  <sheetFormatPr defaultColWidth="9.26953125" defaultRowHeight="12.5"/>
  <cols>
    <col min="1" max="1" width="12" style="49" customWidth="1"/>
    <col min="2" max="2" width="11.7265625" style="49" customWidth="1"/>
    <col min="3" max="3" width="16.453125" style="49" bestFit="1" customWidth="1"/>
    <col min="4" max="4" width="23.7265625" style="49" bestFit="1" customWidth="1"/>
    <col min="5" max="5" width="12.7265625" style="49" customWidth="1"/>
    <col min="6" max="6" width="23.7265625" style="49" bestFit="1" customWidth="1"/>
    <col min="7" max="16384" width="9.26953125" style="49"/>
  </cols>
  <sheetData>
    <row r="1" spans="1:6" ht="13.5">
      <c r="A1" s="271" t="s">
        <v>302</v>
      </c>
      <c r="B1" s="271"/>
      <c r="C1" s="271"/>
      <c r="D1" s="271"/>
    </row>
    <row r="2" spans="1:6" ht="13.5">
      <c r="A2" s="271" t="s">
        <v>303</v>
      </c>
      <c r="B2" s="271"/>
      <c r="C2" s="271"/>
      <c r="D2" s="271"/>
    </row>
    <row r="3" spans="1:6" ht="13.5">
      <c r="A3" s="90"/>
    </row>
    <row r="4" spans="1:6" ht="13">
      <c r="A4" s="91" t="s">
        <v>263</v>
      </c>
      <c r="B4" s="91" t="s">
        <v>304</v>
      </c>
      <c r="C4" s="91" t="s">
        <v>305</v>
      </c>
      <c r="D4" s="91" t="s">
        <v>306</v>
      </c>
    </row>
    <row r="5" spans="1:6" ht="15.5">
      <c r="A5" s="49">
        <v>28000546</v>
      </c>
      <c r="B5" s="92">
        <v>1457170</v>
      </c>
      <c r="C5" s="93">
        <v>0.49490000000000001</v>
      </c>
      <c r="D5" s="94"/>
    </row>
    <row r="6" spans="1:6" ht="15.5">
      <c r="A6" s="49">
        <v>28001169</v>
      </c>
      <c r="B6" s="92">
        <v>490190</v>
      </c>
      <c r="C6" s="93">
        <v>0.16650000000000001</v>
      </c>
      <c r="D6" s="94"/>
    </row>
    <row r="7" spans="1:6" ht="15.5">
      <c r="A7" s="49">
        <v>28000519</v>
      </c>
      <c r="B7" s="92">
        <v>163540</v>
      </c>
      <c r="C7" s="93">
        <v>5.5500000000000001E-2</v>
      </c>
      <c r="D7" s="94"/>
    </row>
    <row r="8" spans="1:6" ht="15.5">
      <c r="A8" s="49">
        <v>28000438</v>
      </c>
      <c r="B8" s="92">
        <v>117360</v>
      </c>
      <c r="C8" s="93">
        <v>3.9899999999999998E-2</v>
      </c>
      <c r="D8" s="94"/>
    </row>
    <row r="9" spans="1:6" ht="15.5">
      <c r="A9" s="49">
        <v>28000411</v>
      </c>
      <c r="B9" s="92">
        <v>75060</v>
      </c>
      <c r="C9" s="93">
        <v>2.5499999999999998E-2</v>
      </c>
      <c r="D9" s="94"/>
      <c r="F9" s="94"/>
    </row>
    <row r="10" spans="1:6" ht="15.5">
      <c r="A10" s="49">
        <v>28000550</v>
      </c>
      <c r="B10" s="92">
        <v>74880</v>
      </c>
      <c r="C10" s="93">
        <v>2.5399999999999999E-2</v>
      </c>
      <c r="D10" s="94"/>
      <c r="F10" s="94"/>
    </row>
    <row r="11" spans="1:6" ht="15.5">
      <c r="A11" s="49">
        <v>28000410</v>
      </c>
      <c r="B11" s="92">
        <v>61950</v>
      </c>
      <c r="C11" s="93">
        <v>2.1000000000000001E-2</v>
      </c>
      <c r="D11" s="94"/>
      <c r="F11" s="94"/>
    </row>
    <row r="12" spans="1:6" ht="15.5">
      <c r="A12" s="49">
        <v>28000409</v>
      </c>
      <c r="B12" s="92">
        <v>48400</v>
      </c>
      <c r="C12" s="93">
        <v>1.6400000000000001E-2</v>
      </c>
      <c r="D12" s="94"/>
      <c r="F12" s="94"/>
    </row>
    <row r="13" spans="1:6" ht="15.5">
      <c r="A13" s="49">
        <v>28000440</v>
      </c>
      <c r="B13" s="92">
        <v>33690</v>
      </c>
      <c r="C13" s="93">
        <v>1.14E-2</v>
      </c>
      <c r="D13" s="94"/>
      <c r="F13" s="94"/>
    </row>
    <row r="14" spans="1:6" ht="15.5">
      <c r="A14" s="49">
        <v>28000520</v>
      </c>
      <c r="B14" s="92">
        <v>29380</v>
      </c>
      <c r="C14" s="93">
        <v>0.01</v>
      </c>
      <c r="D14" s="94"/>
      <c r="F14" s="94"/>
    </row>
    <row r="15" spans="1:6" ht="15.5">
      <c r="A15" s="49">
        <v>28000522</v>
      </c>
      <c r="B15" s="92">
        <v>27460</v>
      </c>
      <c r="C15" s="93">
        <v>9.2999999999999992E-3</v>
      </c>
      <c r="D15" s="94"/>
      <c r="F15" s="94"/>
    </row>
    <row r="16" spans="1:6" ht="15.5">
      <c r="A16" s="49">
        <v>28000441</v>
      </c>
      <c r="B16" s="92">
        <v>24760</v>
      </c>
      <c r="C16" s="93">
        <v>8.3999999999999995E-3</v>
      </c>
      <c r="D16" s="94"/>
      <c r="F16" s="94"/>
    </row>
    <row r="17" spans="1:6" ht="15.5">
      <c r="A17" s="49">
        <v>38000442</v>
      </c>
      <c r="B17" s="92">
        <v>23900</v>
      </c>
      <c r="C17" s="93">
        <v>8.0999999999999996E-3</v>
      </c>
      <c r="D17" s="94"/>
      <c r="F17" s="94"/>
    </row>
    <row r="18" spans="1:6" ht="15.5">
      <c r="A18" s="49">
        <v>28000451</v>
      </c>
      <c r="B18" s="92">
        <v>20240</v>
      </c>
      <c r="C18" s="93">
        <v>6.8999999999999999E-3</v>
      </c>
      <c r="D18" s="94"/>
      <c r="F18" s="94"/>
    </row>
    <row r="19" spans="1:6" ht="15.5">
      <c r="A19" s="49">
        <v>28000443</v>
      </c>
      <c r="B19" s="92">
        <v>19070</v>
      </c>
      <c r="C19" s="93">
        <v>6.4999999999999997E-3</v>
      </c>
      <c r="D19" s="94"/>
      <c r="F19" s="94"/>
    </row>
    <row r="20" spans="1:6" ht="15.5">
      <c r="A20" s="49">
        <v>28000437</v>
      </c>
      <c r="B20" s="92">
        <v>17660</v>
      </c>
      <c r="C20" s="93">
        <v>6.0000000000000001E-3</v>
      </c>
      <c r="D20" s="94"/>
      <c r="F20" s="94"/>
    </row>
    <row r="21" spans="1:6" ht="15.5">
      <c r="A21" s="49">
        <v>28000408</v>
      </c>
      <c r="B21" s="92">
        <v>16590</v>
      </c>
      <c r="C21" s="93">
        <v>5.5999999999999999E-3</v>
      </c>
      <c r="D21" s="94"/>
      <c r="F21" s="94"/>
    </row>
    <row r="22" spans="1:6" ht="15.5">
      <c r="A22" s="49">
        <v>28000458</v>
      </c>
      <c r="B22" s="92">
        <v>15320</v>
      </c>
      <c r="C22" s="93">
        <v>5.1999999999999998E-3</v>
      </c>
      <c r="D22" s="94"/>
      <c r="F22" s="94"/>
    </row>
    <row r="23" spans="1:6" ht="15.5">
      <c r="A23" s="49">
        <v>28001191</v>
      </c>
      <c r="B23" s="92">
        <v>14940</v>
      </c>
      <c r="C23" s="93">
        <v>5.1000000000000004E-3</v>
      </c>
      <c r="D23" s="94"/>
      <c r="F23" s="94"/>
    </row>
    <row r="24" spans="1:6" ht="15.5">
      <c r="A24" s="49">
        <v>28001718</v>
      </c>
      <c r="B24" s="92">
        <v>13870</v>
      </c>
      <c r="C24" s="93">
        <v>4.7000000000000002E-3</v>
      </c>
      <c r="D24" s="94"/>
      <c r="F24" s="94"/>
    </row>
    <row r="25" spans="1:6" ht="15.5">
      <c r="A25" s="49">
        <v>28000523</v>
      </c>
      <c r="B25" s="92">
        <v>13650</v>
      </c>
      <c r="C25" s="93">
        <v>4.5999999999999999E-3</v>
      </c>
      <c r="D25" s="94"/>
      <c r="F25" s="94"/>
    </row>
    <row r="26" spans="1:6" ht="15.5">
      <c r="A26" s="49">
        <v>28000524</v>
      </c>
      <c r="B26" s="92">
        <v>13630</v>
      </c>
      <c r="C26" s="93">
        <v>4.5999999999999999E-3</v>
      </c>
      <c r="D26" s="94"/>
      <c r="F26" s="94"/>
    </row>
    <row r="27" spans="1:6" ht="15.5">
      <c r="A27" s="49">
        <v>28001043</v>
      </c>
      <c r="B27" s="92">
        <v>13450</v>
      </c>
      <c r="C27" s="93">
        <v>4.5999999999999999E-3</v>
      </c>
      <c r="D27" s="94"/>
      <c r="F27" s="94"/>
    </row>
    <row r="28" spans="1:6" ht="15.5">
      <c r="A28" s="49">
        <v>28001271</v>
      </c>
      <c r="B28" s="92">
        <v>11310</v>
      </c>
      <c r="C28" s="93">
        <v>3.8E-3</v>
      </c>
      <c r="D28" s="94"/>
      <c r="F28" s="94"/>
    </row>
    <row r="29" spans="1:6" ht="15.5">
      <c r="A29" s="49">
        <v>28000911</v>
      </c>
      <c r="B29" s="92">
        <v>11190</v>
      </c>
      <c r="C29" s="93">
        <v>3.8E-3</v>
      </c>
      <c r="D29" s="94"/>
      <c r="F29" s="94"/>
    </row>
    <row r="30" spans="1:6" ht="15.5">
      <c r="A30" s="49">
        <v>28001616</v>
      </c>
      <c r="B30" s="92">
        <v>10900</v>
      </c>
      <c r="C30" s="93">
        <v>3.7000000000000002E-3</v>
      </c>
      <c r="D30" s="94"/>
      <c r="F30" s="94"/>
    </row>
    <row r="31" spans="1:6" ht="15.5">
      <c r="A31" s="49">
        <v>28000413</v>
      </c>
      <c r="B31" s="92">
        <v>10720</v>
      </c>
      <c r="C31" s="93">
        <v>3.5999999999999999E-3</v>
      </c>
      <c r="D31" s="94"/>
      <c r="F31" s="94"/>
    </row>
    <row r="32" spans="1:6" ht="15.5">
      <c r="A32" s="49">
        <v>28000543</v>
      </c>
      <c r="B32" s="92">
        <v>9770</v>
      </c>
      <c r="C32" s="93">
        <v>3.3E-3</v>
      </c>
      <c r="D32" s="94"/>
      <c r="F32" s="94"/>
    </row>
    <row r="33" spans="1:6" ht="15.5">
      <c r="A33" s="49">
        <v>28000544</v>
      </c>
      <c r="B33" s="92">
        <v>9660</v>
      </c>
      <c r="C33" s="93">
        <v>3.3E-3</v>
      </c>
      <c r="D33" s="94"/>
      <c r="F33" s="94"/>
    </row>
    <row r="34" spans="1:6" ht="15.5">
      <c r="A34" s="49">
        <v>28000456</v>
      </c>
      <c r="B34" s="92">
        <v>9490</v>
      </c>
      <c r="C34" s="93">
        <v>3.2000000000000002E-3</v>
      </c>
      <c r="D34" s="94"/>
      <c r="F34" s="94"/>
    </row>
    <row r="35" spans="1:6" ht="15.5">
      <c r="A35" s="49">
        <v>28000961</v>
      </c>
      <c r="B35" s="92">
        <v>8450</v>
      </c>
      <c r="C35" s="93">
        <v>2.8999999999999998E-3</v>
      </c>
      <c r="D35" s="94"/>
      <c r="F35" s="94"/>
    </row>
    <row r="36" spans="1:6" ht="15.5">
      <c r="A36" s="49">
        <v>28000445</v>
      </c>
      <c r="B36" s="92">
        <v>6670</v>
      </c>
      <c r="C36" s="93">
        <v>2.3E-3</v>
      </c>
      <c r="D36" s="94"/>
      <c r="F36" s="94"/>
    </row>
    <row r="37" spans="1:6" ht="15.5">
      <c r="A37" s="49">
        <v>28001170</v>
      </c>
      <c r="B37" s="92">
        <v>5520</v>
      </c>
      <c r="C37" s="93">
        <v>1.9E-3</v>
      </c>
      <c r="D37" s="94"/>
      <c r="F37" s="94"/>
    </row>
    <row r="38" spans="1:6" ht="15.5">
      <c r="A38" s="49">
        <v>28000399</v>
      </c>
      <c r="B38" s="92">
        <v>5500</v>
      </c>
      <c r="C38" s="93">
        <v>1.9E-3</v>
      </c>
      <c r="D38" s="94"/>
      <c r="F38" s="94"/>
    </row>
    <row r="39" spans="1:6" ht="15.5">
      <c r="A39" s="49">
        <v>28001402</v>
      </c>
      <c r="B39" s="92">
        <v>4360</v>
      </c>
      <c r="C39" s="93">
        <v>1.5E-3</v>
      </c>
      <c r="D39" s="94"/>
      <c r="F39" s="94"/>
    </row>
    <row r="40" spans="1:6" ht="15.5">
      <c r="A40" s="49">
        <v>28001300</v>
      </c>
      <c r="B40" s="92">
        <v>4360</v>
      </c>
      <c r="C40" s="93">
        <v>1.5E-3</v>
      </c>
      <c r="D40" s="94"/>
      <c r="F40" s="94"/>
    </row>
    <row r="41" spans="1:6" ht="15.5">
      <c r="A41" s="49">
        <v>28001450</v>
      </c>
      <c r="B41" s="92">
        <v>4350</v>
      </c>
      <c r="C41" s="93">
        <v>1.5E-3</v>
      </c>
      <c r="D41" s="94"/>
      <c r="F41" s="94"/>
    </row>
    <row r="42" spans="1:6" ht="15.5">
      <c r="A42" s="49">
        <v>28001143</v>
      </c>
      <c r="B42" s="92">
        <v>4010</v>
      </c>
      <c r="C42" s="93">
        <v>1.4E-3</v>
      </c>
      <c r="D42" s="94"/>
      <c r="F42" s="94"/>
    </row>
    <row r="43" spans="1:6">
      <c r="B43" s="92"/>
      <c r="C43" s="93"/>
    </row>
  </sheetData>
  <mergeCells count="2">
    <mergeCell ref="A1:D1"/>
    <mergeCell ref="A2:D2"/>
  </mergeCells>
  <conditionalFormatting sqref="A1:A1048576">
    <cfRule type="duplicateValues" dxfId="0" priority="1" stopIfTrue="1"/>
  </conditionalFormatting>
  <pageMargins left="0.75" right="0.75" top="1" bottom="1" header="0.5" footer="0.5"/>
  <pageSetup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F97D-073C-46ED-8BB1-2215D365B51A}">
  <sheetPr>
    <tabColor rgb="FFFFFF00"/>
  </sheetPr>
  <dimension ref="A1:B39"/>
  <sheetViews>
    <sheetView workbookViewId="0">
      <selection activeCell="U49" sqref="U49"/>
    </sheetView>
  </sheetViews>
  <sheetFormatPr defaultColWidth="9.26953125" defaultRowHeight="12.5"/>
  <cols>
    <col min="1" max="1" width="26.26953125" style="49" customWidth="1"/>
    <col min="2" max="2" width="19.26953125" style="49" customWidth="1"/>
    <col min="3" max="16384" width="9.26953125" style="49"/>
  </cols>
  <sheetData>
    <row r="1" spans="1:2" ht="13">
      <c r="A1" s="89" t="s">
        <v>262</v>
      </c>
      <c r="B1" s="89" t="s">
        <v>263</v>
      </c>
    </row>
    <row r="2" spans="1:2">
      <c r="A2" s="49" t="s">
        <v>264</v>
      </c>
      <c r="B2" s="49">
        <v>28000546</v>
      </c>
    </row>
    <row r="3" spans="1:2">
      <c r="A3" s="49" t="s">
        <v>265</v>
      </c>
      <c r="B3" s="49">
        <v>28000911</v>
      </c>
    </row>
    <row r="4" spans="1:2">
      <c r="A4" s="49" t="s">
        <v>266</v>
      </c>
      <c r="B4" s="49">
        <v>28001616</v>
      </c>
    </row>
    <row r="5" spans="1:2">
      <c r="A5" s="49" t="s">
        <v>267</v>
      </c>
      <c r="B5" s="49">
        <v>28000413</v>
      </c>
    </row>
    <row r="6" spans="1:2">
      <c r="A6" s="49" t="s">
        <v>268</v>
      </c>
      <c r="B6" s="49">
        <v>28000543</v>
      </c>
    </row>
    <row r="7" spans="1:2">
      <c r="A7" s="49" t="s">
        <v>269</v>
      </c>
      <c r="B7" s="49">
        <v>28001169</v>
      </c>
    </row>
    <row r="8" spans="1:2">
      <c r="A8" s="49" t="s">
        <v>270</v>
      </c>
      <c r="B8" s="49">
        <v>28000519</v>
      </c>
    </row>
    <row r="9" spans="1:2">
      <c r="A9" s="49" t="s">
        <v>271</v>
      </c>
      <c r="B9" s="49">
        <v>28000438</v>
      </c>
    </row>
    <row r="10" spans="1:2">
      <c r="A10" s="49" t="s">
        <v>272</v>
      </c>
      <c r="B10" s="49">
        <v>28000411</v>
      </c>
    </row>
    <row r="11" spans="1:2">
      <c r="A11" s="49" t="s">
        <v>273</v>
      </c>
      <c r="B11" s="49">
        <v>28000550</v>
      </c>
    </row>
    <row r="12" spans="1:2">
      <c r="A12" s="49" t="s">
        <v>274</v>
      </c>
      <c r="B12" s="49">
        <v>28000410</v>
      </c>
    </row>
    <row r="13" spans="1:2">
      <c r="A13" s="49" t="s">
        <v>275</v>
      </c>
      <c r="B13" s="49">
        <v>28000409</v>
      </c>
    </row>
    <row r="14" spans="1:2">
      <c r="A14" s="49" t="s">
        <v>276</v>
      </c>
      <c r="B14" s="49">
        <v>28001300</v>
      </c>
    </row>
    <row r="15" spans="1:2">
      <c r="A15" s="49" t="s">
        <v>277</v>
      </c>
      <c r="B15" s="49">
        <v>28001450</v>
      </c>
    </row>
    <row r="16" spans="1:2">
      <c r="A16" s="49" t="s">
        <v>278</v>
      </c>
      <c r="B16" s="49">
        <v>28000440</v>
      </c>
    </row>
    <row r="17" spans="1:2">
      <c r="A17" s="49" t="s">
        <v>279</v>
      </c>
      <c r="B17" s="49">
        <v>28000520</v>
      </c>
    </row>
    <row r="18" spans="1:2">
      <c r="A18" s="49" t="s">
        <v>280</v>
      </c>
      <c r="B18" s="49">
        <v>28000522</v>
      </c>
    </row>
    <row r="19" spans="1:2">
      <c r="A19" s="49" t="s">
        <v>281</v>
      </c>
      <c r="B19" s="49">
        <v>28000441</v>
      </c>
    </row>
    <row r="20" spans="1:2">
      <c r="A20" s="49" t="s">
        <v>282</v>
      </c>
      <c r="B20" s="49">
        <v>28000442</v>
      </c>
    </row>
    <row r="21" spans="1:2">
      <c r="A21" s="49" t="s">
        <v>283</v>
      </c>
      <c r="B21" s="49">
        <v>28000451</v>
      </c>
    </row>
    <row r="22" spans="1:2">
      <c r="A22" s="49" t="s">
        <v>284</v>
      </c>
      <c r="B22" s="49">
        <v>28001402</v>
      </c>
    </row>
    <row r="23" spans="1:2">
      <c r="A23" s="49" t="s">
        <v>285</v>
      </c>
      <c r="B23" s="49">
        <v>28000443</v>
      </c>
    </row>
    <row r="24" spans="1:2">
      <c r="A24" s="49" t="s">
        <v>286</v>
      </c>
      <c r="B24" s="49">
        <v>28000437</v>
      </c>
    </row>
    <row r="25" spans="1:2">
      <c r="A25" s="49" t="s">
        <v>287</v>
      </c>
      <c r="B25" s="49">
        <v>28000408</v>
      </c>
    </row>
    <row r="26" spans="1:2">
      <c r="A26" s="49" t="s">
        <v>288</v>
      </c>
      <c r="B26" s="49">
        <v>28000458</v>
      </c>
    </row>
    <row r="27" spans="1:2">
      <c r="A27" s="49" t="s">
        <v>289</v>
      </c>
      <c r="B27" s="49">
        <v>28000961</v>
      </c>
    </row>
    <row r="28" spans="1:2">
      <c r="A28" s="49" t="s">
        <v>290</v>
      </c>
      <c r="B28" s="49">
        <v>28000445</v>
      </c>
    </row>
    <row r="29" spans="1:2">
      <c r="A29" s="49" t="s">
        <v>291</v>
      </c>
      <c r="B29" s="49">
        <v>28001170</v>
      </c>
    </row>
    <row r="30" spans="1:2">
      <c r="A30" s="49" t="s">
        <v>292</v>
      </c>
      <c r="B30" s="49">
        <v>28000399</v>
      </c>
    </row>
    <row r="31" spans="1:2">
      <c r="A31" s="49" t="s">
        <v>293</v>
      </c>
      <c r="B31" s="49">
        <v>28001191</v>
      </c>
    </row>
    <row r="32" spans="1:2">
      <c r="A32" s="49" t="s">
        <v>294</v>
      </c>
      <c r="B32" s="49">
        <v>28001718</v>
      </c>
    </row>
    <row r="33" spans="1:2">
      <c r="A33" s="49" t="s">
        <v>295</v>
      </c>
      <c r="B33" s="49">
        <v>28000523</v>
      </c>
    </row>
    <row r="34" spans="1:2">
      <c r="A34" s="49" t="s">
        <v>296</v>
      </c>
      <c r="B34" s="49">
        <v>28000524</v>
      </c>
    </row>
    <row r="35" spans="1:2">
      <c r="A35" s="49" t="s">
        <v>297</v>
      </c>
      <c r="B35" s="49">
        <v>28001043</v>
      </c>
    </row>
    <row r="36" spans="1:2">
      <c r="A36" s="49" t="s">
        <v>298</v>
      </c>
      <c r="B36" s="49">
        <v>28001271</v>
      </c>
    </row>
    <row r="37" spans="1:2">
      <c r="A37" s="49" t="s">
        <v>299</v>
      </c>
      <c r="B37" s="49">
        <v>28000544</v>
      </c>
    </row>
    <row r="38" spans="1:2">
      <c r="A38" s="49" t="s">
        <v>300</v>
      </c>
      <c r="B38" s="49">
        <v>28000456</v>
      </c>
    </row>
    <row r="39" spans="1:2">
      <c r="A39" s="49" t="s">
        <v>301</v>
      </c>
      <c r="B39" s="49">
        <v>28001143</v>
      </c>
    </row>
  </sheetData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0CE3-813B-410E-81B7-F3DC8D1EECE1}">
  <sheetPr>
    <tabColor theme="9" tint="-0.249977111117893"/>
  </sheetPr>
  <dimension ref="A1:F13"/>
  <sheetViews>
    <sheetView zoomScale="130" zoomScaleNormal="130" workbookViewId="0">
      <selection activeCell="J32" sqref="J32"/>
    </sheetView>
  </sheetViews>
  <sheetFormatPr defaultColWidth="9.26953125" defaultRowHeight="14.5"/>
  <cols>
    <col min="1" max="1" width="20.453125" style="88" customWidth="1"/>
    <col min="2" max="2" width="13.54296875" style="76" customWidth="1"/>
    <col min="3" max="4" width="13.453125" style="76" customWidth="1"/>
    <col min="5" max="5" width="17.7265625" style="76" customWidth="1"/>
    <col min="6" max="6" width="16" style="76" customWidth="1"/>
    <col min="7" max="16384" width="9.26953125" style="76"/>
  </cols>
  <sheetData>
    <row r="1" spans="1:6" ht="15" customHeight="1">
      <c r="A1" s="272" t="s">
        <v>256</v>
      </c>
      <c r="B1" s="273"/>
      <c r="C1" s="273"/>
      <c r="D1" s="273"/>
      <c r="E1" s="273"/>
      <c r="F1" s="274"/>
    </row>
    <row r="2" spans="1:6">
      <c r="A2" s="275"/>
      <c r="B2" s="276"/>
      <c r="C2" s="276"/>
      <c r="D2" s="276"/>
      <c r="E2" s="276"/>
      <c r="F2" s="277"/>
    </row>
    <row r="3" spans="1:6">
      <c r="A3" s="77" t="s">
        <v>19</v>
      </c>
      <c r="B3" s="78" t="s">
        <v>257</v>
      </c>
      <c r="C3" s="78" t="s">
        <v>258</v>
      </c>
      <c r="D3" s="78" t="s">
        <v>259</v>
      </c>
      <c r="E3" s="78" t="s">
        <v>260</v>
      </c>
      <c r="F3" s="79" t="s">
        <v>261</v>
      </c>
    </row>
    <row r="4" spans="1:6">
      <c r="A4" s="80"/>
      <c r="B4" s="81"/>
      <c r="C4" s="81"/>
      <c r="D4" s="81"/>
      <c r="E4" s="81"/>
      <c r="F4" s="82"/>
    </row>
    <row r="5" spans="1:6">
      <c r="A5" s="83"/>
      <c r="B5" s="41"/>
      <c r="C5" s="41"/>
      <c r="D5" s="41"/>
      <c r="E5" s="41"/>
      <c r="F5" s="84"/>
    </row>
    <row r="6" spans="1:6">
      <c r="A6" s="83"/>
      <c r="B6" s="41"/>
      <c r="C6" s="41"/>
      <c r="D6" s="41"/>
      <c r="E6" s="41"/>
      <c r="F6" s="84"/>
    </row>
    <row r="7" spans="1:6">
      <c r="A7" s="83"/>
      <c r="B7" s="41"/>
      <c r="C7" s="41"/>
      <c r="D7" s="41"/>
      <c r="E7" s="41"/>
      <c r="F7" s="84"/>
    </row>
    <row r="8" spans="1:6">
      <c r="A8" s="83"/>
      <c r="B8" s="41"/>
      <c r="C8" s="41"/>
      <c r="D8" s="41"/>
      <c r="E8" s="41"/>
      <c r="F8" s="84"/>
    </row>
    <row r="9" spans="1:6">
      <c r="A9" s="85"/>
      <c r="B9" s="86"/>
      <c r="C9" s="86"/>
      <c r="D9" s="86"/>
      <c r="E9" s="86"/>
      <c r="F9" s="87"/>
    </row>
    <row r="11" spans="1:6">
      <c r="D11" s="41"/>
      <c r="E11" s="41"/>
      <c r="F11" s="41"/>
    </row>
    <row r="12" spans="1:6">
      <c r="D12" s="41"/>
      <c r="E12" s="41"/>
      <c r="F12" s="41"/>
    </row>
    <row r="13" spans="1:6">
      <c r="D13" s="41"/>
      <c r="E13" s="41"/>
      <c r="F13" s="41"/>
    </row>
  </sheetData>
  <mergeCells count="1">
    <mergeCell ref="A1:F2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CA739-766D-4527-8321-35EABFAE3132}">
  <sheetPr>
    <tabColor theme="9" tint="-0.249977111117893"/>
  </sheetPr>
  <dimension ref="A1:D1"/>
  <sheetViews>
    <sheetView workbookViewId="0"/>
  </sheetViews>
  <sheetFormatPr defaultColWidth="11.81640625" defaultRowHeight="14.5"/>
  <cols>
    <col min="1" max="16384" width="11.81640625" style="76"/>
  </cols>
  <sheetData>
    <row r="1" spans="1:4">
      <c r="A1" s="75"/>
      <c r="B1" s="75"/>
      <c r="C1" s="75"/>
      <c r="D1" s="7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34DA-3BC4-428A-B695-6D20A3886C1A}">
  <sheetPr>
    <tabColor theme="9" tint="-0.249977111117893"/>
  </sheetPr>
  <dimension ref="A1:D85"/>
  <sheetViews>
    <sheetView workbookViewId="0">
      <selection sqref="A1:D1048576"/>
    </sheetView>
  </sheetViews>
  <sheetFormatPr defaultColWidth="9.26953125" defaultRowHeight="12.5"/>
  <cols>
    <col min="1" max="4" width="17.54296875" style="49" customWidth="1"/>
    <col min="5" max="16384" width="9.26953125" style="49"/>
  </cols>
  <sheetData>
    <row r="1" spans="1:4" ht="13">
      <c r="A1" s="74" t="s">
        <v>179</v>
      </c>
      <c r="B1" s="74" t="s">
        <v>252</v>
      </c>
      <c r="C1" s="74" t="s">
        <v>180</v>
      </c>
      <c r="D1" s="74" t="s">
        <v>53</v>
      </c>
    </row>
    <row r="2" spans="1:4" ht="14.5">
      <c r="A2" s="49">
        <v>247384397</v>
      </c>
      <c r="B2" s="49" t="s">
        <v>60</v>
      </c>
      <c r="C2" s="72" t="s">
        <v>188</v>
      </c>
      <c r="D2" s="65"/>
    </row>
    <row r="3" spans="1:4" ht="14.5">
      <c r="A3" s="49">
        <v>247384397</v>
      </c>
      <c r="B3" s="49" t="s">
        <v>60</v>
      </c>
      <c r="C3" s="72" t="s">
        <v>194</v>
      </c>
      <c r="D3" s="65"/>
    </row>
    <row r="4" spans="1:4" ht="14.5">
      <c r="A4" s="49">
        <v>247384398</v>
      </c>
      <c r="B4" s="49" t="s">
        <v>66</v>
      </c>
      <c r="C4" s="72" t="s">
        <v>228</v>
      </c>
      <c r="D4" s="65"/>
    </row>
    <row r="5" spans="1:4" ht="14.5">
      <c r="A5" s="49">
        <v>247384398</v>
      </c>
      <c r="B5" s="49" t="s">
        <v>66</v>
      </c>
      <c r="C5" s="72" t="s">
        <v>195</v>
      </c>
      <c r="D5" s="65"/>
    </row>
    <row r="6" spans="1:4" ht="14.5">
      <c r="A6" s="49">
        <v>247384399</v>
      </c>
      <c r="B6" s="49" t="s">
        <v>70</v>
      </c>
      <c r="C6" s="72" t="s">
        <v>191</v>
      </c>
      <c r="D6" s="65"/>
    </row>
    <row r="7" spans="1:4" ht="14.5">
      <c r="A7" s="49">
        <v>247384399</v>
      </c>
      <c r="B7" s="49" t="s">
        <v>70</v>
      </c>
      <c r="C7" s="72" t="s">
        <v>197</v>
      </c>
      <c r="D7" s="65"/>
    </row>
    <row r="8" spans="1:4" ht="14.5">
      <c r="A8" s="49">
        <v>247384400</v>
      </c>
      <c r="B8" s="49" t="s">
        <v>74</v>
      </c>
      <c r="C8" s="72" t="s">
        <v>189</v>
      </c>
      <c r="D8" s="65"/>
    </row>
    <row r="9" spans="1:4" ht="14.5">
      <c r="A9" s="49">
        <v>247384400</v>
      </c>
      <c r="B9" s="49" t="s">
        <v>74</v>
      </c>
      <c r="C9" s="72" t="s">
        <v>208</v>
      </c>
      <c r="D9" s="65"/>
    </row>
    <row r="10" spans="1:4" ht="14.5">
      <c r="A10" s="49">
        <v>247384401</v>
      </c>
      <c r="B10" s="49" t="s">
        <v>78</v>
      </c>
      <c r="C10" s="72" t="s">
        <v>241</v>
      </c>
      <c r="D10" s="65"/>
    </row>
    <row r="11" spans="1:4" ht="14.5">
      <c r="A11" s="49">
        <v>247384401</v>
      </c>
      <c r="B11" s="49" t="s">
        <v>78</v>
      </c>
      <c r="C11" s="72" t="s">
        <v>211</v>
      </c>
      <c r="D11" s="65"/>
    </row>
    <row r="12" spans="1:4" ht="14.5">
      <c r="A12" s="49">
        <v>247384402</v>
      </c>
      <c r="B12" s="49" t="s">
        <v>82</v>
      </c>
      <c r="C12" s="72" t="s">
        <v>243</v>
      </c>
      <c r="D12" s="65"/>
    </row>
    <row r="13" spans="1:4" ht="14.5">
      <c r="A13" s="49">
        <v>247384402</v>
      </c>
      <c r="B13" s="49" t="s">
        <v>82</v>
      </c>
      <c r="C13" s="72" t="s">
        <v>249</v>
      </c>
      <c r="D13" s="65"/>
    </row>
    <row r="14" spans="1:4" ht="14.5">
      <c r="A14" s="49">
        <v>247384403</v>
      </c>
      <c r="B14" s="49" t="s">
        <v>86</v>
      </c>
      <c r="C14" s="72" t="s">
        <v>223</v>
      </c>
      <c r="D14" s="65"/>
    </row>
    <row r="15" spans="1:4" ht="14.5">
      <c r="A15" s="49">
        <v>247384403</v>
      </c>
      <c r="B15" s="49" t="s">
        <v>86</v>
      </c>
      <c r="C15" s="72" t="s">
        <v>244</v>
      </c>
      <c r="D15" s="65"/>
    </row>
    <row r="16" spans="1:4" ht="14.5">
      <c r="A16" s="49">
        <v>247384404</v>
      </c>
      <c r="B16" s="49" t="s">
        <v>90</v>
      </c>
      <c r="C16" s="72" t="s">
        <v>224</v>
      </c>
      <c r="D16" s="65"/>
    </row>
    <row r="17" spans="1:4" ht="14.5">
      <c r="A17" s="49">
        <v>247384404</v>
      </c>
      <c r="B17" s="49" t="s">
        <v>90</v>
      </c>
      <c r="C17" s="72" t="s">
        <v>225</v>
      </c>
      <c r="D17" s="65"/>
    </row>
    <row r="18" spans="1:4" ht="14.5">
      <c r="A18" s="49">
        <v>247384405</v>
      </c>
      <c r="B18" s="49" t="s">
        <v>94</v>
      </c>
      <c r="C18" s="72" t="s">
        <v>201</v>
      </c>
      <c r="D18" s="65"/>
    </row>
    <row r="19" spans="1:4" ht="14.5">
      <c r="A19" s="49">
        <v>247384405</v>
      </c>
      <c r="B19" s="49" t="s">
        <v>94</v>
      </c>
      <c r="C19" s="72" t="s">
        <v>196</v>
      </c>
      <c r="D19" s="65"/>
    </row>
    <row r="20" spans="1:4" ht="14.5">
      <c r="A20" s="49">
        <v>247384406</v>
      </c>
      <c r="B20" s="49" t="s">
        <v>98</v>
      </c>
      <c r="C20" s="72" t="s">
        <v>206</v>
      </c>
      <c r="D20" s="65"/>
    </row>
    <row r="21" spans="1:4" ht="14.5">
      <c r="A21" s="49">
        <v>247384406</v>
      </c>
      <c r="B21" s="49" t="s">
        <v>98</v>
      </c>
      <c r="C21" s="72" t="s">
        <v>207</v>
      </c>
      <c r="D21" s="65"/>
    </row>
    <row r="22" spans="1:4" ht="14.5">
      <c r="A22" s="49">
        <v>247384407</v>
      </c>
      <c r="B22" s="49" t="s">
        <v>102</v>
      </c>
      <c r="C22" s="72" t="s">
        <v>236</v>
      </c>
      <c r="D22" s="65"/>
    </row>
    <row r="23" spans="1:4" ht="14.5">
      <c r="A23" s="49">
        <v>247384407</v>
      </c>
      <c r="B23" s="49" t="s">
        <v>102</v>
      </c>
      <c r="C23" s="72" t="s">
        <v>218</v>
      </c>
      <c r="D23" s="65"/>
    </row>
    <row r="24" spans="1:4" ht="14.5">
      <c r="A24" s="49">
        <v>247384408</v>
      </c>
      <c r="B24" s="49" t="s">
        <v>106</v>
      </c>
      <c r="C24" s="72" t="s">
        <v>232</v>
      </c>
      <c r="D24" s="65"/>
    </row>
    <row r="25" spans="1:4" ht="14.5">
      <c r="A25" s="49">
        <v>247384408</v>
      </c>
      <c r="B25" s="49" t="s">
        <v>106</v>
      </c>
      <c r="C25" s="72" t="s">
        <v>183</v>
      </c>
      <c r="D25" s="65"/>
    </row>
    <row r="26" spans="1:4" ht="14.5">
      <c r="A26" s="49">
        <v>247384409</v>
      </c>
      <c r="B26" s="49" t="s">
        <v>110</v>
      </c>
      <c r="C26" s="72" t="s">
        <v>188</v>
      </c>
      <c r="D26" s="65"/>
    </row>
    <row r="27" spans="1:4" ht="14.5">
      <c r="A27" s="49">
        <v>247384409</v>
      </c>
      <c r="B27" s="49" t="s">
        <v>110</v>
      </c>
      <c r="C27" s="72" t="s">
        <v>194</v>
      </c>
      <c r="D27" s="65"/>
    </row>
    <row r="28" spans="1:4" ht="14.5">
      <c r="A28" s="49">
        <v>247384410</v>
      </c>
      <c r="B28" s="49" t="s">
        <v>114</v>
      </c>
      <c r="C28" s="72" t="s">
        <v>228</v>
      </c>
      <c r="D28" s="65"/>
    </row>
    <row r="29" spans="1:4" ht="14.5">
      <c r="A29" s="49">
        <v>247384410</v>
      </c>
      <c r="B29" s="49" t="s">
        <v>114</v>
      </c>
      <c r="C29" s="72" t="s">
        <v>195</v>
      </c>
      <c r="D29" s="65"/>
    </row>
    <row r="30" spans="1:4" ht="14.5">
      <c r="A30" s="49">
        <v>247384411</v>
      </c>
      <c r="B30" s="49" t="s">
        <v>118</v>
      </c>
      <c r="C30" s="72" t="s">
        <v>191</v>
      </c>
      <c r="D30" s="65"/>
    </row>
    <row r="31" spans="1:4" ht="14.5">
      <c r="A31" s="49">
        <v>247384411</v>
      </c>
      <c r="B31" s="49" t="s">
        <v>118</v>
      </c>
      <c r="C31" s="72" t="s">
        <v>197</v>
      </c>
      <c r="D31" s="65"/>
    </row>
    <row r="32" spans="1:4" ht="14.5">
      <c r="A32" s="49">
        <v>247384412</v>
      </c>
      <c r="B32" s="49" t="s">
        <v>122</v>
      </c>
      <c r="C32" s="72" t="s">
        <v>189</v>
      </c>
      <c r="D32" s="65"/>
    </row>
    <row r="33" spans="1:4" ht="14.5">
      <c r="A33" s="49">
        <v>247384412</v>
      </c>
      <c r="B33" s="49" t="s">
        <v>122</v>
      </c>
      <c r="C33" s="72" t="s">
        <v>208</v>
      </c>
      <c r="D33" s="65"/>
    </row>
    <row r="34" spans="1:4" ht="14.5">
      <c r="A34" s="49">
        <v>247384413</v>
      </c>
      <c r="B34" s="49" t="s">
        <v>126</v>
      </c>
      <c r="C34" s="72" t="s">
        <v>235</v>
      </c>
      <c r="D34" s="65"/>
    </row>
    <row r="35" spans="1:4" ht="14.5">
      <c r="A35" s="49">
        <v>247384413</v>
      </c>
      <c r="B35" s="49" t="s">
        <v>126</v>
      </c>
      <c r="C35" s="72" t="s">
        <v>229</v>
      </c>
      <c r="D35" s="65"/>
    </row>
    <row r="36" spans="1:4" ht="14.5">
      <c r="A36" s="49">
        <v>247384414</v>
      </c>
      <c r="B36" s="49" t="s">
        <v>130</v>
      </c>
      <c r="C36" s="72" t="s">
        <v>239</v>
      </c>
      <c r="D36" s="65"/>
    </row>
    <row r="37" spans="1:4" ht="14.5">
      <c r="A37" s="49">
        <v>247384414</v>
      </c>
      <c r="B37" s="49" t="s">
        <v>130</v>
      </c>
      <c r="C37" s="72" t="s">
        <v>234</v>
      </c>
      <c r="D37" s="65"/>
    </row>
    <row r="38" spans="1:4" ht="14.5">
      <c r="A38" s="49">
        <v>247384415</v>
      </c>
      <c r="B38" s="49" t="s">
        <v>134</v>
      </c>
      <c r="C38" s="72" t="s">
        <v>192</v>
      </c>
      <c r="D38" s="65"/>
    </row>
    <row r="39" spans="1:4" ht="14.5">
      <c r="A39" s="49">
        <v>247384415</v>
      </c>
      <c r="B39" s="49" t="s">
        <v>134</v>
      </c>
      <c r="C39" s="72" t="s">
        <v>240</v>
      </c>
      <c r="D39" s="65"/>
    </row>
    <row r="40" spans="1:4" ht="14.5">
      <c r="A40" s="49">
        <v>247384416</v>
      </c>
      <c r="B40" s="49" t="s">
        <v>138</v>
      </c>
      <c r="C40" s="72" t="s">
        <v>215</v>
      </c>
      <c r="D40" s="65"/>
    </row>
    <row r="41" spans="1:4" ht="14.5">
      <c r="A41" s="49">
        <v>247384416</v>
      </c>
      <c r="B41" s="49" t="s">
        <v>138</v>
      </c>
      <c r="C41" s="72" t="s">
        <v>226</v>
      </c>
      <c r="D41" s="65"/>
    </row>
    <row r="42" spans="1:4" ht="14.5">
      <c r="A42" s="49">
        <v>247384417</v>
      </c>
      <c r="B42" s="49" t="s">
        <v>142</v>
      </c>
      <c r="C42" s="72" t="s">
        <v>203</v>
      </c>
      <c r="D42" s="65"/>
    </row>
    <row r="43" spans="1:4" ht="14.5">
      <c r="A43" s="49">
        <v>247384417</v>
      </c>
      <c r="B43" s="49" t="s">
        <v>142</v>
      </c>
      <c r="C43" s="72" t="s">
        <v>237</v>
      </c>
      <c r="D43" s="65"/>
    </row>
    <row r="44" spans="1:4" ht="14.5">
      <c r="A44" s="49">
        <v>247384418</v>
      </c>
      <c r="B44" s="49" t="s">
        <v>146</v>
      </c>
      <c r="C44" s="72" t="s">
        <v>212</v>
      </c>
      <c r="D44" s="65"/>
    </row>
    <row r="45" spans="1:4" ht="14.5">
      <c r="A45" s="49">
        <v>247384418</v>
      </c>
      <c r="B45" s="49" t="s">
        <v>146</v>
      </c>
      <c r="C45" s="72" t="s">
        <v>238</v>
      </c>
      <c r="D45" s="65"/>
    </row>
    <row r="46" spans="1:4" ht="14.5">
      <c r="A46" s="49">
        <v>247384419</v>
      </c>
      <c r="B46" s="49" t="s">
        <v>150</v>
      </c>
      <c r="C46" s="72" t="s">
        <v>185</v>
      </c>
      <c r="D46" s="65"/>
    </row>
    <row r="47" spans="1:4" ht="14.5">
      <c r="A47" s="49">
        <v>247384419</v>
      </c>
      <c r="B47" s="49" t="s">
        <v>150</v>
      </c>
      <c r="C47" s="72" t="s">
        <v>217</v>
      </c>
      <c r="D47" s="65"/>
    </row>
    <row r="48" spans="1:4" ht="14.5">
      <c r="A48" s="49">
        <v>247384420</v>
      </c>
      <c r="B48" s="49" t="s">
        <v>153</v>
      </c>
      <c r="C48" s="72" t="s">
        <v>194</v>
      </c>
      <c r="D48" s="65"/>
    </row>
    <row r="49" spans="1:4" ht="14.5">
      <c r="A49" s="49">
        <v>247384420</v>
      </c>
      <c r="B49" s="49" t="s">
        <v>153</v>
      </c>
      <c r="C49" s="72" t="s">
        <v>216</v>
      </c>
      <c r="D49" s="65"/>
    </row>
    <row r="50" spans="1:4" ht="14.5">
      <c r="A50" s="49">
        <v>247384421</v>
      </c>
      <c r="B50" s="49" t="s">
        <v>155</v>
      </c>
      <c r="C50" s="72" t="s">
        <v>188</v>
      </c>
      <c r="D50" s="65"/>
    </row>
    <row r="51" spans="1:4" ht="14.5">
      <c r="A51" s="49">
        <v>247384421</v>
      </c>
      <c r="B51" s="49" t="s">
        <v>155</v>
      </c>
      <c r="C51" s="72" t="s">
        <v>228</v>
      </c>
      <c r="D51" s="65"/>
    </row>
    <row r="52" spans="1:4" ht="14.5">
      <c r="A52" s="49">
        <v>247384422</v>
      </c>
      <c r="B52" s="49" t="s">
        <v>157</v>
      </c>
      <c r="C52" s="72" t="s">
        <v>197</v>
      </c>
      <c r="D52" s="65"/>
    </row>
    <row r="53" spans="1:4" ht="14.5">
      <c r="A53" s="49">
        <v>247384422</v>
      </c>
      <c r="B53" s="49" t="s">
        <v>157</v>
      </c>
      <c r="C53" s="72" t="s">
        <v>195</v>
      </c>
      <c r="D53" s="65"/>
    </row>
    <row r="54" spans="1:4" ht="14.5">
      <c r="A54" s="49">
        <v>247384423</v>
      </c>
      <c r="B54" s="49" t="s">
        <v>159</v>
      </c>
      <c r="C54" s="72" t="s">
        <v>191</v>
      </c>
      <c r="D54" s="65"/>
    </row>
    <row r="55" spans="1:4" ht="14.5">
      <c r="A55" s="49">
        <v>247384423</v>
      </c>
      <c r="B55" s="49" t="s">
        <v>159</v>
      </c>
      <c r="C55" s="72" t="s">
        <v>208</v>
      </c>
      <c r="D55" s="65"/>
    </row>
    <row r="56" spans="1:4" ht="14.5">
      <c r="A56" s="49">
        <v>247384425</v>
      </c>
      <c r="B56" s="49" t="s">
        <v>161</v>
      </c>
      <c r="C56" s="72" t="s">
        <v>245</v>
      </c>
      <c r="D56" s="65"/>
    </row>
    <row r="57" spans="1:4" ht="14.5">
      <c r="A57" s="49">
        <v>247384425</v>
      </c>
      <c r="B57" s="49" t="s">
        <v>161</v>
      </c>
      <c r="C57" s="72" t="s">
        <v>189</v>
      </c>
      <c r="D57" s="65"/>
    </row>
    <row r="58" spans="1:4" ht="14.5">
      <c r="A58" s="49">
        <v>247384426</v>
      </c>
      <c r="B58" s="49" t="s">
        <v>163</v>
      </c>
      <c r="C58" s="72" t="s">
        <v>213</v>
      </c>
      <c r="D58" s="65"/>
    </row>
    <row r="59" spans="1:4" ht="14.5">
      <c r="A59" s="49">
        <v>247384426</v>
      </c>
      <c r="B59" s="49" t="s">
        <v>163</v>
      </c>
      <c r="C59" s="72" t="s">
        <v>233</v>
      </c>
      <c r="D59" s="65"/>
    </row>
    <row r="60" spans="1:4" ht="14.5">
      <c r="A60" s="49">
        <v>247384427</v>
      </c>
      <c r="B60" s="49" t="s">
        <v>165</v>
      </c>
      <c r="C60" s="72" t="s">
        <v>227</v>
      </c>
      <c r="D60" s="65"/>
    </row>
    <row r="61" spans="1:4" ht="14.5">
      <c r="A61" s="49">
        <v>247384427</v>
      </c>
      <c r="B61" s="49" t="s">
        <v>165</v>
      </c>
      <c r="C61" s="72" t="s">
        <v>200</v>
      </c>
      <c r="D61" s="65"/>
    </row>
    <row r="62" spans="1:4" ht="14.5">
      <c r="A62" s="49">
        <v>247384428</v>
      </c>
      <c r="B62" s="49" t="s">
        <v>167</v>
      </c>
      <c r="C62" s="72" t="s">
        <v>250</v>
      </c>
      <c r="D62" s="65"/>
    </row>
    <row r="63" spans="1:4" ht="14.5">
      <c r="A63" s="49">
        <v>247384428</v>
      </c>
      <c r="B63" s="49" t="s">
        <v>167</v>
      </c>
      <c r="C63" s="72" t="s">
        <v>202</v>
      </c>
      <c r="D63" s="65"/>
    </row>
    <row r="64" spans="1:4" ht="14.5">
      <c r="A64" s="49">
        <v>247384429</v>
      </c>
      <c r="B64" s="49" t="s">
        <v>169</v>
      </c>
      <c r="C64" s="72" t="s">
        <v>219</v>
      </c>
      <c r="D64" s="65"/>
    </row>
    <row r="65" spans="1:4" ht="14.5">
      <c r="A65" s="49">
        <v>247384429</v>
      </c>
      <c r="B65" s="49" t="s">
        <v>169</v>
      </c>
      <c r="C65" s="72" t="s">
        <v>209</v>
      </c>
      <c r="D65" s="65"/>
    </row>
    <row r="66" spans="1:4" ht="14.5">
      <c r="A66" s="49">
        <v>247384430</v>
      </c>
      <c r="B66" s="49" t="s">
        <v>170</v>
      </c>
      <c r="C66" s="72" t="s">
        <v>190</v>
      </c>
      <c r="D66" s="65"/>
    </row>
    <row r="67" spans="1:4" ht="14.5">
      <c r="A67" s="49">
        <v>247384430</v>
      </c>
      <c r="B67" s="49" t="s">
        <v>170</v>
      </c>
      <c r="C67" s="72" t="s">
        <v>247</v>
      </c>
      <c r="D67" s="65"/>
    </row>
    <row r="68" spans="1:4" ht="14.5">
      <c r="A68" s="49">
        <v>247384431</v>
      </c>
      <c r="B68" s="49" t="s">
        <v>171</v>
      </c>
      <c r="C68" s="72" t="s">
        <v>214</v>
      </c>
      <c r="D68" s="65"/>
    </row>
    <row r="69" spans="1:4" ht="14.5">
      <c r="A69" s="49">
        <v>247384431</v>
      </c>
      <c r="B69" s="49" t="s">
        <v>171</v>
      </c>
      <c r="C69" s="72" t="s">
        <v>210</v>
      </c>
      <c r="D69" s="65"/>
    </row>
    <row r="70" spans="1:4" ht="14.5">
      <c r="A70" s="49">
        <v>247384432</v>
      </c>
      <c r="B70" s="49" t="s">
        <v>172</v>
      </c>
      <c r="C70" s="72" t="s">
        <v>251</v>
      </c>
      <c r="D70" s="65"/>
    </row>
    <row r="71" spans="1:4" ht="14.5">
      <c r="A71" s="49">
        <v>247384432</v>
      </c>
      <c r="B71" s="49" t="s">
        <v>172</v>
      </c>
      <c r="C71" s="72" t="s">
        <v>204</v>
      </c>
      <c r="D71" s="65"/>
    </row>
    <row r="72" spans="1:4" ht="14.5">
      <c r="A72" s="49">
        <v>247384433</v>
      </c>
      <c r="B72" s="49" t="s">
        <v>173</v>
      </c>
      <c r="C72" s="72" t="s">
        <v>248</v>
      </c>
      <c r="D72" s="65"/>
    </row>
    <row r="73" spans="1:4" ht="14.5">
      <c r="A73" s="49">
        <v>247384433</v>
      </c>
      <c r="B73" s="49" t="s">
        <v>173</v>
      </c>
      <c r="C73" s="72" t="s">
        <v>199</v>
      </c>
      <c r="D73" s="65"/>
    </row>
    <row r="74" spans="1:4" ht="14.5">
      <c r="A74" s="49">
        <v>247384434</v>
      </c>
      <c r="B74" s="49" t="s">
        <v>174</v>
      </c>
      <c r="C74" s="72" t="s">
        <v>221</v>
      </c>
      <c r="D74" s="65"/>
    </row>
    <row r="75" spans="1:4" ht="14.5">
      <c r="A75" s="49">
        <v>247384434</v>
      </c>
      <c r="B75" s="49" t="s">
        <v>174</v>
      </c>
      <c r="C75" s="72" t="s">
        <v>198</v>
      </c>
      <c r="D75" s="65"/>
    </row>
    <row r="76" spans="1:4" ht="14.5">
      <c r="A76" s="49">
        <v>247384435</v>
      </c>
      <c r="B76" s="49" t="s">
        <v>175</v>
      </c>
      <c r="C76" s="72" t="s">
        <v>205</v>
      </c>
      <c r="D76" s="65"/>
    </row>
    <row r="77" spans="1:4" ht="14.5">
      <c r="A77" s="49">
        <v>247384435</v>
      </c>
      <c r="B77" s="49" t="s">
        <v>175</v>
      </c>
      <c r="C77" s="72" t="s">
        <v>186</v>
      </c>
      <c r="D77" s="65"/>
    </row>
    <row r="78" spans="1:4" ht="14.5">
      <c r="A78" s="49">
        <v>247384436</v>
      </c>
      <c r="B78" s="49" t="s">
        <v>176</v>
      </c>
      <c r="C78" s="72" t="s">
        <v>246</v>
      </c>
      <c r="D78" s="65"/>
    </row>
    <row r="79" spans="1:4" ht="14.5">
      <c r="A79" s="49">
        <v>247384436</v>
      </c>
      <c r="B79" s="49" t="s">
        <v>176</v>
      </c>
      <c r="C79" s="72" t="s">
        <v>242</v>
      </c>
      <c r="D79" s="65"/>
    </row>
    <row r="80" spans="1:4" ht="14.5">
      <c r="A80" s="49">
        <v>247384437</v>
      </c>
      <c r="B80" s="49" t="s">
        <v>253</v>
      </c>
      <c r="C80" s="72" t="s">
        <v>222</v>
      </c>
      <c r="D80" s="65"/>
    </row>
    <row r="81" spans="1:4" ht="14.5">
      <c r="A81" s="49">
        <v>247384437</v>
      </c>
      <c r="B81" s="49" t="s">
        <v>253</v>
      </c>
      <c r="C81" s="72" t="s">
        <v>220</v>
      </c>
      <c r="D81" s="65"/>
    </row>
    <row r="82" spans="1:4" ht="14.5">
      <c r="A82" s="49">
        <v>247384438</v>
      </c>
      <c r="B82" s="49" t="s">
        <v>254</v>
      </c>
      <c r="C82" s="72" t="s">
        <v>231</v>
      </c>
      <c r="D82" s="65"/>
    </row>
    <row r="83" spans="1:4" ht="14.5">
      <c r="A83" s="49">
        <v>247384438</v>
      </c>
      <c r="B83" s="49" t="s">
        <v>254</v>
      </c>
      <c r="C83" s="72" t="s">
        <v>194</v>
      </c>
      <c r="D83" s="65"/>
    </row>
    <row r="84" spans="1:4" ht="14.5">
      <c r="A84" s="49">
        <v>247384439</v>
      </c>
      <c r="B84" s="49" t="s">
        <v>255</v>
      </c>
      <c r="C84" s="72" t="s">
        <v>188</v>
      </c>
      <c r="D84" s="65"/>
    </row>
    <row r="85" spans="1:4" ht="14.5">
      <c r="A85" s="49">
        <v>247384439</v>
      </c>
      <c r="B85" s="49" t="s">
        <v>255</v>
      </c>
      <c r="C85" s="72" t="s">
        <v>228</v>
      </c>
      <c r="D85" s="65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5492-A413-43AB-A390-A4C5ED1167B2}">
  <sheetPr>
    <tabColor theme="9" tint="-0.249977111117893"/>
  </sheetPr>
  <dimension ref="A1:E91"/>
  <sheetViews>
    <sheetView workbookViewId="0"/>
  </sheetViews>
  <sheetFormatPr defaultColWidth="9.26953125" defaultRowHeight="12.5"/>
  <cols>
    <col min="1" max="1" width="11.26953125" style="49" bestFit="1" customWidth="1"/>
    <col min="2" max="2" width="10.453125" style="49" bestFit="1" customWidth="1"/>
    <col min="3" max="3" width="9.26953125" style="49"/>
    <col min="4" max="4" width="10.26953125" style="49" bestFit="1" customWidth="1"/>
    <col min="5" max="5" width="14" style="49" bestFit="1" customWidth="1"/>
    <col min="6" max="16384" width="9.26953125" style="49"/>
  </cols>
  <sheetData>
    <row r="1" spans="1:5" s="71" customFormat="1" ht="13">
      <c r="A1" s="70" t="s">
        <v>179</v>
      </c>
      <c r="B1" s="70" t="s">
        <v>180</v>
      </c>
      <c r="C1" s="70" t="s">
        <v>181</v>
      </c>
      <c r="D1" s="70" t="s">
        <v>182</v>
      </c>
      <c r="E1" s="70" t="s">
        <v>53</v>
      </c>
    </row>
    <row r="2" spans="1:5" ht="14.5">
      <c r="A2" s="49">
        <v>247384408</v>
      </c>
      <c r="B2" s="72" t="s">
        <v>183</v>
      </c>
      <c r="C2" s="49" t="s">
        <v>184</v>
      </c>
      <c r="D2" s="73">
        <v>45126</v>
      </c>
      <c r="E2" s="65">
        <v>2137776</v>
      </c>
    </row>
    <row r="3" spans="1:5" ht="14.5">
      <c r="A3" s="49">
        <v>247384419</v>
      </c>
      <c r="B3" s="72" t="s">
        <v>185</v>
      </c>
      <c r="C3" s="49" t="s">
        <v>184</v>
      </c>
      <c r="D3" s="73">
        <v>45091</v>
      </c>
      <c r="E3" s="65">
        <v>2102767</v>
      </c>
    </row>
    <row r="4" spans="1:5" ht="14.5">
      <c r="A4" s="49">
        <v>247384435</v>
      </c>
      <c r="B4" s="72" t="s">
        <v>186</v>
      </c>
      <c r="C4" s="49" t="s">
        <v>187</v>
      </c>
      <c r="D4" s="73">
        <v>45229</v>
      </c>
      <c r="E4" s="65">
        <v>2072873</v>
      </c>
    </row>
    <row r="5" spans="1:5" ht="14.5">
      <c r="A5" s="49">
        <v>247384397</v>
      </c>
      <c r="B5" s="72" t="s">
        <v>188</v>
      </c>
      <c r="C5" s="49" t="s">
        <v>184</v>
      </c>
      <c r="D5" s="73">
        <v>45122</v>
      </c>
      <c r="E5" s="65">
        <v>2008128</v>
      </c>
    </row>
    <row r="6" spans="1:5" ht="14.5">
      <c r="A6" s="49">
        <v>247384442</v>
      </c>
      <c r="B6" s="72" t="s">
        <v>189</v>
      </c>
      <c r="C6" s="49" t="s">
        <v>187</v>
      </c>
      <c r="D6" s="73">
        <v>45151</v>
      </c>
      <c r="E6" s="65">
        <v>1978041</v>
      </c>
    </row>
    <row r="7" spans="1:5" ht="14.5">
      <c r="A7" s="49">
        <v>247384430</v>
      </c>
      <c r="B7" s="72" t="s">
        <v>190</v>
      </c>
      <c r="C7" s="49" t="s">
        <v>187</v>
      </c>
      <c r="D7" s="73">
        <v>45091</v>
      </c>
      <c r="E7" s="65">
        <v>1973159</v>
      </c>
    </row>
    <row r="8" spans="1:5" ht="14.5">
      <c r="A8" s="49">
        <v>247384441</v>
      </c>
      <c r="B8" s="72" t="s">
        <v>191</v>
      </c>
      <c r="C8" s="49" t="s">
        <v>187</v>
      </c>
      <c r="D8" s="73">
        <v>45151</v>
      </c>
      <c r="E8" s="65">
        <v>1952081</v>
      </c>
    </row>
    <row r="9" spans="1:5" ht="14.5">
      <c r="A9" s="49">
        <v>247384415</v>
      </c>
      <c r="B9" s="72" t="s">
        <v>192</v>
      </c>
      <c r="C9" s="49" t="s">
        <v>193</v>
      </c>
      <c r="D9" s="73">
        <v>45274</v>
      </c>
      <c r="E9" s="65">
        <v>1950999</v>
      </c>
    </row>
    <row r="10" spans="1:5" ht="14.5">
      <c r="A10" s="49">
        <v>247384438</v>
      </c>
      <c r="B10" s="72" t="s">
        <v>194</v>
      </c>
      <c r="C10" s="49" t="s">
        <v>187</v>
      </c>
      <c r="D10" s="73">
        <v>45048</v>
      </c>
      <c r="E10" s="65">
        <v>1947349</v>
      </c>
    </row>
    <row r="11" spans="1:5" ht="14.5">
      <c r="A11" s="49">
        <v>247384440</v>
      </c>
      <c r="B11" s="72" t="s">
        <v>195</v>
      </c>
      <c r="C11" s="49" t="s">
        <v>187</v>
      </c>
      <c r="D11" s="73">
        <v>45151</v>
      </c>
      <c r="E11" s="65">
        <v>1946424</v>
      </c>
    </row>
    <row r="12" spans="1:5" ht="14.5">
      <c r="A12" s="49">
        <v>247384405</v>
      </c>
      <c r="B12" s="72" t="s">
        <v>196</v>
      </c>
      <c r="C12" s="49" t="s">
        <v>193</v>
      </c>
      <c r="D12" s="73">
        <v>45199</v>
      </c>
      <c r="E12" s="65">
        <v>1854753</v>
      </c>
    </row>
    <row r="13" spans="1:5" ht="14.5">
      <c r="A13" s="49">
        <v>247384411</v>
      </c>
      <c r="B13" s="72" t="s">
        <v>197</v>
      </c>
      <c r="C13" s="49" t="s">
        <v>193</v>
      </c>
      <c r="D13" s="73">
        <v>45018</v>
      </c>
      <c r="E13" s="65">
        <v>1806671</v>
      </c>
    </row>
    <row r="14" spans="1:5" ht="14.5">
      <c r="A14" s="49">
        <v>247384440</v>
      </c>
      <c r="B14" s="72" t="s">
        <v>197</v>
      </c>
      <c r="C14" s="49" t="s">
        <v>187</v>
      </c>
      <c r="D14" s="73">
        <v>45151</v>
      </c>
      <c r="E14" s="65">
        <v>1801749</v>
      </c>
    </row>
    <row r="15" spans="1:5" ht="14.5">
      <c r="A15" s="49">
        <v>247384410</v>
      </c>
      <c r="B15" s="72" t="s">
        <v>195</v>
      </c>
      <c r="C15" s="49" t="s">
        <v>193</v>
      </c>
      <c r="D15" s="73">
        <v>45054</v>
      </c>
      <c r="E15" s="65">
        <v>1765580</v>
      </c>
    </row>
    <row r="16" spans="1:5" ht="14.5">
      <c r="A16" s="49">
        <v>247384422</v>
      </c>
      <c r="B16" s="72" t="s">
        <v>197</v>
      </c>
      <c r="C16" s="49" t="s">
        <v>184</v>
      </c>
      <c r="D16" s="73">
        <v>45091</v>
      </c>
      <c r="E16" s="65">
        <v>1752310</v>
      </c>
    </row>
    <row r="17" spans="1:5" ht="14.5">
      <c r="A17" s="49">
        <v>247384434</v>
      </c>
      <c r="B17" s="72" t="s">
        <v>198</v>
      </c>
      <c r="C17" s="49" t="s">
        <v>187</v>
      </c>
      <c r="D17" s="73">
        <v>45231</v>
      </c>
      <c r="E17" s="65">
        <v>1731196</v>
      </c>
    </row>
    <row r="18" spans="1:5" ht="14.5">
      <c r="A18" s="49">
        <v>247384433</v>
      </c>
      <c r="B18" s="72" t="s">
        <v>199</v>
      </c>
      <c r="C18" s="49" t="s">
        <v>187</v>
      </c>
      <c r="D18" s="73">
        <v>45091</v>
      </c>
      <c r="E18" s="65">
        <v>1622967</v>
      </c>
    </row>
    <row r="19" spans="1:5" ht="14.5">
      <c r="A19" s="49">
        <v>247384427</v>
      </c>
      <c r="B19" s="72" t="s">
        <v>200</v>
      </c>
      <c r="C19" s="49" t="s">
        <v>193</v>
      </c>
      <c r="D19" s="73">
        <v>45001</v>
      </c>
      <c r="E19" s="65">
        <v>1619498</v>
      </c>
    </row>
    <row r="20" spans="1:5" ht="14.5">
      <c r="A20" s="49">
        <v>247384405</v>
      </c>
      <c r="B20" s="72" t="s">
        <v>201</v>
      </c>
      <c r="C20" s="49" t="s">
        <v>193</v>
      </c>
      <c r="D20" s="73">
        <v>45199</v>
      </c>
      <c r="E20" s="65">
        <v>1560767</v>
      </c>
    </row>
    <row r="21" spans="1:5" ht="14.5">
      <c r="A21" s="49">
        <v>247384428</v>
      </c>
      <c r="B21" s="72" t="s">
        <v>202</v>
      </c>
      <c r="C21" s="49" t="s">
        <v>193</v>
      </c>
      <c r="D21" s="73">
        <v>45001</v>
      </c>
      <c r="E21" s="65">
        <v>1555994</v>
      </c>
    </row>
    <row r="22" spans="1:5" ht="14.5">
      <c r="A22" s="49">
        <v>247384417</v>
      </c>
      <c r="B22" s="72" t="s">
        <v>203</v>
      </c>
      <c r="C22" s="49" t="s">
        <v>193</v>
      </c>
      <c r="D22" s="73">
        <v>45236</v>
      </c>
      <c r="E22" s="65">
        <v>1532883</v>
      </c>
    </row>
    <row r="23" spans="1:5" ht="14.5">
      <c r="A23" s="49">
        <v>247384432</v>
      </c>
      <c r="B23" s="72" t="s">
        <v>204</v>
      </c>
      <c r="C23" s="49" t="s">
        <v>187</v>
      </c>
      <c r="D23" s="73">
        <v>45091</v>
      </c>
      <c r="E23" s="65">
        <v>1519024</v>
      </c>
    </row>
    <row r="24" spans="1:5" ht="14.5">
      <c r="A24" s="49">
        <v>247384435</v>
      </c>
      <c r="B24" s="72" t="s">
        <v>205</v>
      </c>
      <c r="C24" s="49" t="s">
        <v>187</v>
      </c>
      <c r="D24" s="73">
        <v>45229</v>
      </c>
      <c r="E24" s="65">
        <v>1512471</v>
      </c>
    </row>
    <row r="25" spans="1:5" ht="14.5">
      <c r="A25" s="49">
        <v>247384420</v>
      </c>
      <c r="B25" s="72" t="s">
        <v>194</v>
      </c>
      <c r="C25" s="49" t="s">
        <v>184</v>
      </c>
      <c r="D25" s="73">
        <v>45091</v>
      </c>
      <c r="E25" s="65">
        <v>1501828</v>
      </c>
    </row>
    <row r="26" spans="1:5" ht="14.5">
      <c r="A26" s="49">
        <v>247384409</v>
      </c>
      <c r="B26" s="72" t="s">
        <v>194</v>
      </c>
      <c r="C26" s="49" t="s">
        <v>184</v>
      </c>
      <c r="D26" s="73">
        <v>45090</v>
      </c>
      <c r="E26" s="65">
        <v>1454552</v>
      </c>
    </row>
    <row r="27" spans="1:5" ht="14.5">
      <c r="A27" s="49">
        <v>247384399</v>
      </c>
      <c r="B27" s="72" t="s">
        <v>197</v>
      </c>
      <c r="C27" s="49" t="s">
        <v>187</v>
      </c>
      <c r="D27" s="73">
        <v>45050</v>
      </c>
      <c r="E27" s="65">
        <v>1450417</v>
      </c>
    </row>
    <row r="28" spans="1:5" ht="14.5">
      <c r="A28" s="49">
        <v>247384406</v>
      </c>
      <c r="B28" s="72" t="s">
        <v>206</v>
      </c>
      <c r="C28" s="49" t="s">
        <v>184</v>
      </c>
      <c r="D28" s="73">
        <v>45163</v>
      </c>
      <c r="E28" s="65">
        <v>1441410</v>
      </c>
    </row>
    <row r="29" spans="1:5" ht="14.5">
      <c r="A29" s="49">
        <v>247384421</v>
      </c>
      <c r="B29" s="72" t="s">
        <v>188</v>
      </c>
      <c r="C29" s="49" t="s">
        <v>184</v>
      </c>
      <c r="D29" s="73">
        <v>45091</v>
      </c>
      <c r="E29" s="65">
        <v>1441247</v>
      </c>
    </row>
    <row r="30" spans="1:5" ht="14.5">
      <c r="A30" s="49">
        <v>247384406</v>
      </c>
      <c r="B30" s="72" t="s">
        <v>207</v>
      </c>
      <c r="C30" s="49" t="s">
        <v>184</v>
      </c>
      <c r="D30" s="73">
        <v>45163</v>
      </c>
      <c r="E30" s="65">
        <v>1423950</v>
      </c>
    </row>
    <row r="31" spans="1:5" ht="14.5">
      <c r="A31" s="49">
        <v>247384400</v>
      </c>
      <c r="B31" s="72" t="s">
        <v>208</v>
      </c>
      <c r="C31" s="49" t="s">
        <v>187</v>
      </c>
      <c r="D31" s="73">
        <v>45014</v>
      </c>
      <c r="E31" s="65">
        <v>1421234</v>
      </c>
    </row>
    <row r="32" spans="1:5" ht="14.5">
      <c r="A32" s="49">
        <v>247384429</v>
      </c>
      <c r="B32" s="72" t="s">
        <v>209</v>
      </c>
      <c r="C32" s="49" t="s">
        <v>187</v>
      </c>
      <c r="D32" s="73">
        <v>45001</v>
      </c>
      <c r="E32" s="65">
        <v>1328639</v>
      </c>
    </row>
    <row r="33" spans="1:5" ht="14.5">
      <c r="A33" s="49">
        <v>247384431</v>
      </c>
      <c r="B33" s="72" t="s">
        <v>210</v>
      </c>
      <c r="C33" s="49" t="s">
        <v>187</v>
      </c>
      <c r="D33" s="73">
        <v>45091</v>
      </c>
      <c r="E33" s="65">
        <v>1320561</v>
      </c>
    </row>
    <row r="34" spans="1:5" ht="14.5">
      <c r="A34" s="49">
        <v>247384401</v>
      </c>
      <c r="B34" s="72" t="s">
        <v>211</v>
      </c>
      <c r="C34" s="49" t="s">
        <v>187</v>
      </c>
      <c r="D34" s="73">
        <v>44978</v>
      </c>
      <c r="E34" s="65">
        <v>1315789</v>
      </c>
    </row>
    <row r="35" spans="1:5" ht="14.5">
      <c r="A35" s="49">
        <v>247384418</v>
      </c>
      <c r="B35" s="72" t="s">
        <v>212</v>
      </c>
      <c r="C35" s="49" t="s">
        <v>184</v>
      </c>
      <c r="D35" s="73">
        <v>45091</v>
      </c>
      <c r="E35" s="65">
        <v>1314509</v>
      </c>
    </row>
    <row r="36" spans="1:5" ht="14.5">
      <c r="A36" s="49">
        <v>247384426</v>
      </c>
      <c r="B36" s="72" t="s">
        <v>213</v>
      </c>
      <c r="C36" s="49" t="s">
        <v>193</v>
      </c>
      <c r="D36" s="73">
        <v>45001</v>
      </c>
      <c r="E36" s="65">
        <v>1313936</v>
      </c>
    </row>
    <row r="37" spans="1:5" ht="14.5">
      <c r="A37" s="49">
        <v>247384400</v>
      </c>
      <c r="B37" s="72" t="s">
        <v>189</v>
      </c>
      <c r="C37" s="49" t="s">
        <v>187</v>
      </c>
      <c r="D37" s="73">
        <v>45014</v>
      </c>
      <c r="E37" s="65">
        <v>1268127</v>
      </c>
    </row>
    <row r="38" spans="1:5" ht="14.5">
      <c r="A38" s="49">
        <v>247384431</v>
      </c>
      <c r="B38" s="72" t="s">
        <v>214</v>
      </c>
      <c r="C38" s="49" t="s">
        <v>187</v>
      </c>
      <c r="D38" s="73">
        <v>45091</v>
      </c>
      <c r="E38" s="65">
        <v>1201947</v>
      </c>
    </row>
    <row r="39" spans="1:5" ht="14.5">
      <c r="A39" s="49">
        <v>247384422</v>
      </c>
      <c r="B39" s="72" t="s">
        <v>195</v>
      </c>
      <c r="C39" s="49" t="s">
        <v>184</v>
      </c>
      <c r="D39" s="73">
        <v>45091</v>
      </c>
      <c r="E39" s="65">
        <v>1135635</v>
      </c>
    </row>
    <row r="40" spans="1:5" ht="14.5">
      <c r="A40" s="49">
        <v>247384416</v>
      </c>
      <c r="B40" s="72" t="s">
        <v>215</v>
      </c>
      <c r="C40" s="49" t="s">
        <v>193</v>
      </c>
      <c r="D40" s="73">
        <v>45272</v>
      </c>
      <c r="E40" s="65">
        <v>1133295</v>
      </c>
    </row>
    <row r="41" spans="1:5" ht="14.5">
      <c r="A41" s="49">
        <v>247384420</v>
      </c>
      <c r="B41" s="72" t="s">
        <v>216</v>
      </c>
      <c r="C41" s="49" t="s">
        <v>184</v>
      </c>
      <c r="D41" s="73">
        <v>45091</v>
      </c>
      <c r="E41" s="65">
        <v>1119989</v>
      </c>
    </row>
    <row r="42" spans="1:5" ht="14.5">
      <c r="A42" s="49">
        <v>247384419</v>
      </c>
      <c r="B42" s="72" t="s">
        <v>217</v>
      </c>
      <c r="C42" s="49" t="s">
        <v>184</v>
      </c>
      <c r="D42" s="73">
        <v>45091</v>
      </c>
      <c r="E42" s="65">
        <v>1105812</v>
      </c>
    </row>
    <row r="43" spans="1:5" ht="14.5">
      <c r="A43" s="49">
        <v>247384407</v>
      </c>
      <c r="B43" s="72" t="s">
        <v>218</v>
      </c>
      <c r="C43" s="49" t="s">
        <v>184</v>
      </c>
      <c r="D43" s="73">
        <v>45127</v>
      </c>
      <c r="E43" s="65">
        <v>1097508</v>
      </c>
    </row>
    <row r="44" spans="1:5" ht="14.5">
      <c r="A44" s="49">
        <v>247384425</v>
      </c>
      <c r="B44" s="72" t="s">
        <v>189</v>
      </c>
      <c r="C44" s="49" t="s">
        <v>193</v>
      </c>
      <c r="D44" s="73">
        <v>45001</v>
      </c>
      <c r="E44" s="65">
        <v>1083848</v>
      </c>
    </row>
    <row r="45" spans="1:5" ht="14.5">
      <c r="A45" s="49">
        <v>247384429</v>
      </c>
      <c r="B45" s="72" t="s">
        <v>219</v>
      </c>
      <c r="C45" s="49" t="s">
        <v>187</v>
      </c>
      <c r="D45" s="73">
        <v>45001</v>
      </c>
      <c r="E45" s="65">
        <v>1078787</v>
      </c>
    </row>
    <row r="46" spans="1:5" ht="14.5">
      <c r="A46" s="49">
        <v>247384437</v>
      </c>
      <c r="B46" s="72" t="s">
        <v>220</v>
      </c>
      <c r="C46" s="49" t="s">
        <v>187</v>
      </c>
      <c r="D46" s="73">
        <v>45048</v>
      </c>
      <c r="E46" s="65">
        <v>1076782</v>
      </c>
    </row>
    <row r="47" spans="1:5" ht="14.5">
      <c r="A47" s="49">
        <v>247384434</v>
      </c>
      <c r="B47" s="72" t="s">
        <v>221</v>
      </c>
      <c r="C47" s="49" t="s">
        <v>187</v>
      </c>
      <c r="D47" s="73">
        <v>45231</v>
      </c>
      <c r="E47" s="65">
        <v>1064092</v>
      </c>
    </row>
    <row r="48" spans="1:5" ht="14.5">
      <c r="A48" s="49">
        <v>247384399</v>
      </c>
      <c r="B48" s="72" t="s">
        <v>191</v>
      </c>
      <c r="C48" s="49" t="s">
        <v>187</v>
      </c>
      <c r="D48" s="73">
        <v>45050</v>
      </c>
      <c r="E48" s="65">
        <v>1039784</v>
      </c>
    </row>
    <row r="49" spans="1:5" ht="14.5">
      <c r="A49" s="49">
        <v>247384398</v>
      </c>
      <c r="B49" s="72" t="s">
        <v>195</v>
      </c>
      <c r="C49" s="49" t="s">
        <v>187</v>
      </c>
      <c r="D49" s="73">
        <v>45086</v>
      </c>
      <c r="E49" s="65">
        <v>1003384</v>
      </c>
    </row>
    <row r="50" spans="1:5" ht="14.5">
      <c r="A50" s="49">
        <v>247384437</v>
      </c>
      <c r="B50" s="72" t="s">
        <v>222</v>
      </c>
      <c r="C50" s="49" t="s">
        <v>187</v>
      </c>
      <c r="D50" s="73">
        <v>45048</v>
      </c>
      <c r="E50" s="65">
        <v>986721</v>
      </c>
    </row>
    <row r="51" spans="1:5" ht="14.5">
      <c r="A51" s="49">
        <v>247384403</v>
      </c>
      <c r="B51" s="72" t="s">
        <v>223</v>
      </c>
      <c r="C51" s="49" t="s">
        <v>193</v>
      </c>
      <c r="D51" s="73">
        <v>45271</v>
      </c>
      <c r="E51" s="65">
        <v>982741</v>
      </c>
    </row>
    <row r="52" spans="1:5" ht="14.5">
      <c r="A52" s="49">
        <v>247384423</v>
      </c>
      <c r="B52" s="72" t="s">
        <v>191</v>
      </c>
      <c r="C52" s="49" t="s">
        <v>184</v>
      </c>
      <c r="D52" s="73">
        <v>45147</v>
      </c>
      <c r="E52" s="65">
        <v>966680</v>
      </c>
    </row>
    <row r="53" spans="1:5" ht="14.5">
      <c r="A53" s="49">
        <v>247384404</v>
      </c>
      <c r="B53" s="72" t="s">
        <v>224</v>
      </c>
      <c r="C53" s="49" t="s">
        <v>193</v>
      </c>
      <c r="D53" s="73">
        <v>45235</v>
      </c>
      <c r="E53" s="65">
        <v>958246</v>
      </c>
    </row>
    <row r="54" spans="1:5" ht="14.5">
      <c r="A54" s="49">
        <v>247384404</v>
      </c>
      <c r="B54" s="72" t="s">
        <v>225</v>
      </c>
      <c r="C54" s="49" t="s">
        <v>193</v>
      </c>
      <c r="D54" s="73">
        <v>45235</v>
      </c>
      <c r="E54" s="65">
        <v>887222</v>
      </c>
    </row>
    <row r="55" spans="1:5" ht="14.5">
      <c r="A55" s="49">
        <v>247384416</v>
      </c>
      <c r="B55" s="72" t="s">
        <v>226</v>
      </c>
      <c r="C55" s="49" t="s">
        <v>193</v>
      </c>
      <c r="D55" s="73">
        <v>45272</v>
      </c>
      <c r="E55" s="65">
        <v>883287</v>
      </c>
    </row>
    <row r="56" spans="1:5" ht="14.5">
      <c r="A56" s="49">
        <v>247384439</v>
      </c>
      <c r="B56" s="72" t="s">
        <v>188</v>
      </c>
      <c r="C56" s="49" t="s">
        <v>187</v>
      </c>
      <c r="D56" s="73">
        <v>45151</v>
      </c>
      <c r="E56" s="65">
        <v>876490</v>
      </c>
    </row>
    <row r="57" spans="1:5" ht="14.5">
      <c r="A57" s="49">
        <v>247384412</v>
      </c>
      <c r="B57" s="72" t="s">
        <v>189</v>
      </c>
      <c r="C57" s="49" t="s">
        <v>193</v>
      </c>
      <c r="D57" s="73">
        <v>45016</v>
      </c>
      <c r="E57" s="65">
        <v>869027</v>
      </c>
    </row>
    <row r="58" spans="1:5" ht="14.5">
      <c r="A58" s="49">
        <v>247384427</v>
      </c>
      <c r="B58" s="72" t="s">
        <v>227</v>
      </c>
      <c r="C58" s="49" t="s">
        <v>193</v>
      </c>
      <c r="D58" s="73">
        <v>45001</v>
      </c>
      <c r="E58" s="65">
        <v>858458</v>
      </c>
    </row>
    <row r="59" spans="1:5" ht="14.5">
      <c r="A59" s="49">
        <v>247384410</v>
      </c>
      <c r="B59" s="72" t="s">
        <v>228</v>
      </c>
      <c r="C59" s="49" t="s">
        <v>193</v>
      </c>
      <c r="D59" s="73">
        <v>45054</v>
      </c>
      <c r="E59" s="65">
        <v>851739</v>
      </c>
    </row>
    <row r="60" spans="1:5" ht="14.5">
      <c r="A60" s="49">
        <v>247384413</v>
      </c>
      <c r="B60" s="72" t="s">
        <v>229</v>
      </c>
      <c r="C60" s="49" t="s">
        <v>193</v>
      </c>
      <c r="D60" s="73">
        <v>44981</v>
      </c>
      <c r="E60" s="65">
        <v>817814</v>
      </c>
    </row>
    <row r="61" spans="1:5" ht="14.5">
      <c r="A61" s="49">
        <v>247384397</v>
      </c>
      <c r="B61" s="72" t="s">
        <v>194</v>
      </c>
      <c r="C61" s="49" t="s">
        <v>184</v>
      </c>
      <c r="D61" s="73">
        <v>45122</v>
      </c>
      <c r="E61" s="65">
        <v>712107</v>
      </c>
    </row>
    <row r="62" spans="1:5" ht="14.5">
      <c r="A62" s="49">
        <v>247384411</v>
      </c>
      <c r="B62" s="72" t="s">
        <v>191</v>
      </c>
      <c r="C62" s="49" t="s">
        <v>193</v>
      </c>
      <c r="D62" s="73">
        <v>45018</v>
      </c>
      <c r="E62" s="65">
        <v>704201</v>
      </c>
    </row>
    <row r="63" spans="1:5" ht="14.5">
      <c r="A63" s="49">
        <v>247384442</v>
      </c>
      <c r="B63" s="72" t="s">
        <v>230</v>
      </c>
      <c r="C63" s="49" t="s">
        <v>187</v>
      </c>
      <c r="D63" s="73">
        <v>45151</v>
      </c>
      <c r="E63" s="65">
        <v>703845</v>
      </c>
    </row>
    <row r="64" spans="1:5" ht="14.5">
      <c r="A64" s="49">
        <v>247384438</v>
      </c>
      <c r="B64" s="72" t="s">
        <v>231</v>
      </c>
      <c r="C64" s="49" t="s">
        <v>187</v>
      </c>
      <c r="D64" s="73">
        <v>45048</v>
      </c>
      <c r="E64" s="65">
        <v>691070</v>
      </c>
    </row>
    <row r="65" spans="1:5" ht="14.5">
      <c r="A65" s="49">
        <v>247384408</v>
      </c>
      <c r="B65" s="72" t="s">
        <v>232</v>
      </c>
      <c r="C65" s="49" t="s">
        <v>184</v>
      </c>
      <c r="D65" s="73">
        <v>45126</v>
      </c>
      <c r="E65" s="65">
        <v>666896</v>
      </c>
    </row>
    <row r="66" spans="1:5" ht="14.5">
      <c r="A66" s="49">
        <v>247384409</v>
      </c>
      <c r="B66" s="72" t="s">
        <v>188</v>
      </c>
      <c r="C66" s="49" t="s">
        <v>184</v>
      </c>
      <c r="D66" s="73">
        <v>45090</v>
      </c>
      <c r="E66" s="65">
        <v>624256</v>
      </c>
    </row>
    <row r="67" spans="1:5" ht="14.5">
      <c r="A67" s="49">
        <v>247384441</v>
      </c>
      <c r="B67" s="72" t="s">
        <v>208</v>
      </c>
      <c r="C67" s="49" t="s">
        <v>187</v>
      </c>
      <c r="D67" s="73">
        <v>45151</v>
      </c>
      <c r="E67" s="65">
        <v>611251</v>
      </c>
    </row>
    <row r="68" spans="1:5" ht="14.5">
      <c r="A68" s="49">
        <v>247384426</v>
      </c>
      <c r="B68" s="72" t="s">
        <v>233</v>
      </c>
      <c r="C68" s="49" t="s">
        <v>193</v>
      </c>
      <c r="D68" s="73">
        <v>45001</v>
      </c>
      <c r="E68" s="65">
        <v>602650</v>
      </c>
    </row>
    <row r="69" spans="1:5" ht="14.5">
      <c r="A69" s="49">
        <v>247384414</v>
      </c>
      <c r="B69" s="72" t="s">
        <v>234</v>
      </c>
      <c r="C69" s="49" t="s">
        <v>193</v>
      </c>
      <c r="D69" s="73">
        <v>44945</v>
      </c>
      <c r="E69" s="65">
        <v>586897</v>
      </c>
    </row>
    <row r="70" spans="1:5" ht="14.5">
      <c r="A70" s="49">
        <v>247384413</v>
      </c>
      <c r="B70" s="72" t="s">
        <v>235</v>
      </c>
      <c r="C70" s="49" t="s">
        <v>193</v>
      </c>
      <c r="D70" s="73">
        <v>44981</v>
      </c>
      <c r="E70" s="65">
        <v>563972</v>
      </c>
    </row>
    <row r="71" spans="1:5" ht="14.5">
      <c r="A71" s="49">
        <v>247384407</v>
      </c>
      <c r="B71" s="72" t="s">
        <v>236</v>
      </c>
      <c r="C71" s="49" t="s">
        <v>184</v>
      </c>
      <c r="D71" s="73">
        <v>45127</v>
      </c>
      <c r="E71" s="65">
        <v>491034</v>
      </c>
    </row>
    <row r="72" spans="1:5" ht="14.5">
      <c r="A72" s="49">
        <v>247384417</v>
      </c>
      <c r="B72" s="72" t="s">
        <v>237</v>
      </c>
      <c r="C72" s="49" t="s">
        <v>193</v>
      </c>
      <c r="D72" s="73">
        <v>45236</v>
      </c>
      <c r="E72" s="65">
        <v>448746</v>
      </c>
    </row>
    <row r="73" spans="1:5" ht="14.5">
      <c r="A73" s="49">
        <v>247384418</v>
      </c>
      <c r="B73" s="72" t="s">
        <v>238</v>
      </c>
      <c r="C73" s="49" t="s">
        <v>184</v>
      </c>
      <c r="D73" s="73">
        <v>45091</v>
      </c>
      <c r="E73" s="65">
        <v>438039</v>
      </c>
    </row>
    <row r="74" spans="1:5" ht="14.5">
      <c r="A74" s="49">
        <v>247384414</v>
      </c>
      <c r="B74" s="72" t="s">
        <v>239</v>
      </c>
      <c r="C74" s="49" t="s">
        <v>193</v>
      </c>
      <c r="D74" s="73">
        <v>44945</v>
      </c>
      <c r="E74" s="65">
        <v>428920</v>
      </c>
    </row>
    <row r="75" spans="1:5" ht="14.5">
      <c r="A75" s="49">
        <v>247384415</v>
      </c>
      <c r="B75" s="72" t="s">
        <v>240</v>
      </c>
      <c r="C75" s="49" t="s">
        <v>193</v>
      </c>
      <c r="D75" s="73">
        <v>45274</v>
      </c>
      <c r="E75" s="65">
        <v>417594</v>
      </c>
    </row>
    <row r="76" spans="1:5" ht="14.5">
      <c r="A76" s="49">
        <v>247384421</v>
      </c>
      <c r="B76" s="72" t="s">
        <v>228</v>
      </c>
      <c r="C76" s="49" t="s">
        <v>184</v>
      </c>
      <c r="D76" s="73">
        <v>45091</v>
      </c>
      <c r="E76" s="65">
        <v>384480</v>
      </c>
    </row>
    <row r="77" spans="1:5" ht="14.5">
      <c r="A77" s="49">
        <v>247384401</v>
      </c>
      <c r="B77" s="72" t="s">
        <v>241</v>
      </c>
      <c r="C77" s="49" t="s">
        <v>187</v>
      </c>
      <c r="D77" s="73">
        <v>44978</v>
      </c>
      <c r="E77" s="65">
        <v>335928</v>
      </c>
    </row>
    <row r="78" spans="1:5" ht="14.5">
      <c r="A78" s="49">
        <v>247384436</v>
      </c>
      <c r="B78" s="72" t="s">
        <v>242</v>
      </c>
      <c r="C78" s="49" t="s">
        <v>187</v>
      </c>
      <c r="D78" s="73">
        <v>45193</v>
      </c>
      <c r="E78" s="65">
        <v>321891</v>
      </c>
    </row>
    <row r="79" spans="1:5" ht="14.5">
      <c r="A79" s="49">
        <v>247384402</v>
      </c>
      <c r="B79" s="72" t="s">
        <v>243</v>
      </c>
      <c r="C79" s="49" t="s">
        <v>193</v>
      </c>
      <c r="D79" s="73">
        <v>44942</v>
      </c>
      <c r="E79" s="65">
        <v>303368</v>
      </c>
    </row>
    <row r="80" spans="1:5" ht="14.5">
      <c r="A80" s="49">
        <v>247384412</v>
      </c>
      <c r="B80" s="72" t="s">
        <v>208</v>
      </c>
      <c r="C80" s="49" t="s">
        <v>193</v>
      </c>
      <c r="D80" s="73">
        <v>45016</v>
      </c>
      <c r="E80" s="65">
        <v>298642</v>
      </c>
    </row>
    <row r="81" spans="1:5" ht="14.5">
      <c r="A81" s="49">
        <v>247384398</v>
      </c>
      <c r="B81" s="72" t="s">
        <v>228</v>
      </c>
      <c r="C81" s="49" t="s">
        <v>187</v>
      </c>
      <c r="D81" s="73">
        <v>45086</v>
      </c>
      <c r="E81" s="65">
        <v>215584</v>
      </c>
    </row>
    <row r="82" spans="1:5" ht="14.5">
      <c r="A82" s="49">
        <v>247384439</v>
      </c>
      <c r="B82" s="72" t="s">
        <v>228</v>
      </c>
      <c r="C82" s="49" t="s">
        <v>187</v>
      </c>
      <c r="D82" s="73">
        <v>45151</v>
      </c>
      <c r="E82" s="65">
        <v>190825</v>
      </c>
    </row>
    <row r="83" spans="1:5" ht="14.5">
      <c r="A83" s="49">
        <v>247384403</v>
      </c>
      <c r="B83" s="72" t="s">
        <v>244</v>
      </c>
      <c r="C83" s="49" t="s">
        <v>193</v>
      </c>
      <c r="D83" s="73">
        <v>45271</v>
      </c>
      <c r="E83" s="65">
        <v>178984</v>
      </c>
    </row>
    <row r="84" spans="1:5" ht="14.5">
      <c r="A84" s="49">
        <v>247384425</v>
      </c>
      <c r="B84" s="72" t="s">
        <v>245</v>
      </c>
      <c r="C84" s="49" t="s">
        <v>193</v>
      </c>
      <c r="D84" s="73">
        <v>45001</v>
      </c>
      <c r="E84" s="65">
        <v>137459</v>
      </c>
    </row>
    <row r="85" spans="1:5" ht="14.5">
      <c r="A85" s="49">
        <v>247384436</v>
      </c>
      <c r="B85" s="72" t="s">
        <v>246</v>
      </c>
      <c r="C85" s="49" t="s">
        <v>187</v>
      </c>
      <c r="D85" s="73">
        <v>45193</v>
      </c>
      <c r="E85" s="65">
        <v>119090</v>
      </c>
    </row>
    <row r="86" spans="1:5" ht="14.5">
      <c r="A86" s="49">
        <v>247384430</v>
      </c>
      <c r="B86" s="72" t="s">
        <v>247</v>
      </c>
      <c r="C86" s="49" t="s">
        <v>187</v>
      </c>
      <c r="D86" s="73">
        <v>45091</v>
      </c>
      <c r="E86" s="65">
        <v>112699</v>
      </c>
    </row>
    <row r="87" spans="1:5" ht="14.5">
      <c r="A87" s="49">
        <v>247384433</v>
      </c>
      <c r="B87" s="72" t="s">
        <v>248</v>
      </c>
      <c r="C87" s="49" t="s">
        <v>187</v>
      </c>
      <c r="D87" s="73">
        <v>45091</v>
      </c>
      <c r="E87" s="65">
        <v>71698</v>
      </c>
    </row>
    <row r="88" spans="1:5" ht="14.5">
      <c r="A88" s="49">
        <v>247384402</v>
      </c>
      <c r="B88" s="72" t="s">
        <v>249</v>
      </c>
      <c r="C88" s="49" t="s">
        <v>193</v>
      </c>
      <c r="D88" s="73">
        <v>44942</v>
      </c>
      <c r="E88" s="65">
        <v>54051</v>
      </c>
    </row>
    <row r="89" spans="1:5" ht="14.5">
      <c r="A89" s="49">
        <v>247384428</v>
      </c>
      <c r="B89" s="72" t="s">
        <v>250</v>
      </c>
      <c r="C89" s="49" t="s">
        <v>193</v>
      </c>
      <c r="D89" s="73">
        <v>45001</v>
      </c>
      <c r="E89" s="65">
        <v>39987</v>
      </c>
    </row>
    <row r="90" spans="1:5" ht="14.5">
      <c r="A90" s="49">
        <v>247384423</v>
      </c>
      <c r="B90" s="72" t="s">
        <v>208</v>
      </c>
      <c r="C90" s="49" t="s">
        <v>184</v>
      </c>
      <c r="D90" s="73">
        <v>45147</v>
      </c>
      <c r="E90" s="65">
        <v>19477</v>
      </c>
    </row>
    <row r="91" spans="1:5" ht="14.5">
      <c r="A91" s="49">
        <v>247384432</v>
      </c>
      <c r="B91" s="72" t="s">
        <v>251</v>
      </c>
      <c r="C91" s="49" t="s">
        <v>187</v>
      </c>
      <c r="D91" s="73">
        <v>45091</v>
      </c>
      <c r="E91" s="65">
        <v>486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AFED-1BB1-4C42-8A52-6413383A72F7}">
  <sheetPr>
    <tabColor rgb="FF00B0F0"/>
  </sheetPr>
  <dimension ref="A1:D118"/>
  <sheetViews>
    <sheetView workbookViewId="0">
      <selection sqref="A1:C1"/>
    </sheetView>
  </sheetViews>
  <sheetFormatPr defaultColWidth="9.26953125" defaultRowHeight="12.5"/>
  <cols>
    <col min="1" max="1" width="13.26953125" style="49" customWidth="1"/>
    <col min="2" max="2" width="18" style="49" bestFit="1" customWidth="1"/>
    <col min="3" max="3" width="20.26953125" style="49" customWidth="1"/>
    <col min="4" max="16384" width="9.26953125" style="49"/>
  </cols>
  <sheetData>
    <row r="1" spans="1:4">
      <c r="A1" s="278" t="s">
        <v>178</v>
      </c>
      <c r="B1" s="278"/>
      <c r="C1" s="278"/>
    </row>
    <row r="3" spans="1:4" ht="13">
      <c r="A3" s="69" t="s">
        <v>57</v>
      </c>
      <c r="B3" s="69" t="s">
        <v>58</v>
      </c>
      <c r="C3" s="69" t="s">
        <v>53</v>
      </c>
      <c r="D3" s="69" t="s">
        <v>59</v>
      </c>
    </row>
    <row r="4" spans="1:4">
      <c r="A4" s="49">
        <v>7007391410</v>
      </c>
    </row>
    <row r="5" spans="1:4">
      <c r="A5" s="49">
        <v>247384397</v>
      </c>
    </row>
    <row r="6" spans="1:4">
      <c r="A6" s="49">
        <v>247384406</v>
      </c>
    </row>
    <row r="7" spans="1:4">
      <c r="A7" s="49">
        <v>247384414</v>
      </c>
    </row>
    <row r="8" spans="1:4">
      <c r="A8" s="49">
        <v>7007671538</v>
      </c>
    </row>
    <row r="9" spans="1:4">
      <c r="A9" s="49">
        <v>247384440</v>
      </c>
    </row>
    <row r="10" spans="1:4">
      <c r="A10" s="49">
        <v>7007531474</v>
      </c>
    </row>
    <row r="11" spans="1:4">
      <c r="A11" s="49">
        <v>247384409</v>
      </c>
    </row>
    <row r="12" spans="1:4">
      <c r="A12" s="49">
        <v>247384437</v>
      </c>
    </row>
    <row r="13" spans="1:4">
      <c r="A13" s="49">
        <v>7008558610</v>
      </c>
    </row>
    <row r="14" spans="1:4">
      <c r="A14" s="49">
        <v>7007764914</v>
      </c>
    </row>
    <row r="15" spans="1:4">
      <c r="A15" s="49">
        <v>7007368066</v>
      </c>
    </row>
    <row r="16" spans="1:4">
      <c r="A16" s="49">
        <v>247384410</v>
      </c>
    </row>
    <row r="17" spans="1:1">
      <c r="A17" s="49">
        <v>247384439</v>
      </c>
    </row>
    <row r="18" spans="1:1">
      <c r="A18" s="49">
        <v>7008045042</v>
      </c>
    </row>
    <row r="19" spans="1:1">
      <c r="A19" s="49">
        <v>7007414754</v>
      </c>
    </row>
    <row r="20" spans="1:1">
      <c r="A20" s="49">
        <v>247384404</v>
      </c>
    </row>
    <row r="21" spans="1:1">
      <c r="A21" s="49">
        <v>247384425</v>
      </c>
    </row>
    <row r="22" spans="1:1">
      <c r="A22" s="49">
        <v>7008115074</v>
      </c>
    </row>
    <row r="23" spans="1:1">
      <c r="A23" s="49">
        <v>7007788258</v>
      </c>
    </row>
    <row r="24" spans="1:1">
      <c r="A24" s="49">
        <v>7008395202</v>
      </c>
    </row>
    <row r="25" spans="1:1">
      <c r="A25" s="49">
        <v>247384415</v>
      </c>
    </row>
    <row r="26" spans="1:1">
      <c r="A26" s="49">
        <v>7008348514</v>
      </c>
    </row>
    <row r="27" spans="1:1">
      <c r="A27" s="49">
        <v>247384402</v>
      </c>
    </row>
    <row r="28" spans="1:1">
      <c r="A28" s="49">
        <v>7007601506</v>
      </c>
    </row>
    <row r="29" spans="1:1">
      <c r="A29" s="49">
        <v>247384405</v>
      </c>
    </row>
    <row r="30" spans="1:1">
      <c r="A30" s="49">
        <v>7008418546</v>
      </c>
    </row>
    <row r="31" spans="1:1">
      <c r="A31" s="49">
        <v>247384432</v>
      </c>
    </row>
    <row r="32" spans="1:1">
      <c r="A32" s="49">
        <v>7007554818</v>
      </c>
    </row>
    <row r="33" spans="1:1">
      <c r="A33" s="49">
        <v>247384441</v>
      </c>
    </row>
    <row r="34" spans="1:1">
      <c r="A34" s="49">
        <v>7008301826</v>
      </c>
    </row>
    <row r="35" spans="1:1">
      <c r="A35" s="49">
        <v>247384422</v>
      </c>
    </row>
    <row r="36" spans="1:1">
      <c r="A36" s="49">
        <v>247384438</v>
      </c>
    </row>
    <row r="37" spans="1:1">
      <c r="A37" s="49">
        <v>7007741570</v>
      </c>
    </row>
    <row r="38" spans="1:1">
      <c r="A38" s="49">
        <v>7008581954</v>
      </c>
    </row>
    <row r="39" spans="1:1">
      <c r="A39" s="49">
        <v>247384442</v>
      </c>
    </row>
    <row r="40" spans="1:1">
      <c r="A40" s="49">
        <v>247384433</v>
      </c>
    </row>
    <row r="41" spans="1:1">
      <c r="A41" s="49">
        <v>7008161762</v>
      </c>
    </row>
    <row r="42" spans="1:1">
      <c r="A42" s="49">
        <v>7008488578</v>
      </c>
    </row>
    <row r="43" spans="1:1">
      <c r="A43" s="49">
        <v>247384420</v>
      </c>
    </row>
    <row r="44" spans="1:1">
      <c r="A44" s="49">
        <v>7007484786</v>
      </c>
    </row>
    <row r="45" spans="1:1">
      <c r="A45" s="49">
        <v>7008231794</v>
      </c>
    </row>
    <row r="46" spans="1:1">
      <c r="A46" s="49">
        <v>247384413</v>
      </c>
    </row>
    <row r="47" spans="1:1">
      <c r="A47" s="49">
        <v>7008441890</v>
      </c>
    </row>
    <row r="48" spans="1:1">
      <c r="A48" s="49">
        <v>7007508130</v>
      </c>
    </row>
    <row r="49" spans="1:1">
      <c r="A49" s="49">
        <v>7008208450</v>
      </c>
    </row>
    <row r="50" spans="1:1">
      <c r="A50" s="49">
        <v>7007951666</v>
      </c>
    </row>
    <row r="51" spans="1:1">
      <c r="A51" s="49">
        <v>7007438098</v>
      </c>
    </row>
    <row r="52" spans="1:1">
      <c r="A52" s="49">
        <v>7008068386</v>
      </c>
    </row>
    <row r="53" spans="1:1">
      <c r="A53" s="49">
        <v>7007718226</v>
      </c>
    </row>
    <row r="54" spans="1:1">
      <c r="A54" s="49">
        <v>7007694882</v>
      </c>
    </row>
    <row r="55" spans="1:1">
      <c r="A55" s="49">
        <v>7007928322</v>
      </c>
    </row>
    <row r="56" spans="1:1">
      <c r="A56" s="49">
        <v>7008605298</v>
      </c>
    </row>
    <row r="57" spans="1:1">
      <c r="A57" s="49">
        <v>247384407</v>
      </c>
    </row>
    <row r="58" spans="1:1">
      <c r="A58" s="49">
        <v>247384401</v>
      </c>
    </row>
    <row r="59" spans="1:1">
      <c r="A59" s="49">
        <v>247384398</v>
      </c>
    </row>
    <row r="60" spans="1:1">
      <c r="A60" s="49">
        <v>7008511922</v>
      </c>
    </row>
    <row r="61" spans="1:1">
      <c r="A61" s="49">
        <v>247384429</v>
      </c>
    </row>
    <row r="62" spans="1:1">
      <c r="A62" s="49">
        <v>247384418</v>
      </c>
    </row>
    <row r="63" spans="1:1">
      <c r="A63" s="49">
        <v>247384431</v>
      </c>
    </row>
    <row r="64" spans="1:1">
      <c r="A64" s="49">
        <v>7008278482</v>
      </c>
    </row>
    <row r="65" spans="1:1">
      <c r="A65" s="49">
        <v>7007975010</v>
      </c>
    </row>
    <row r="66" spans="1:1">
      <c r="A66" s="49">
        <v>7007904978</v>
      </c>
    </row>
    <row r="67" spans="1:1">
      <c r="A67" s="49">
        <v>7007578162</v>
      </c>
    </row>
    <row r="68" spans="1:1">
      <c r="A68" s="49">
        <v>247384403</v>
      </c>
    </row>
    <row r="69" spans="1:1">
      <c r="A69" s="49">
        <v>7007811602</v>
      </c>
    </row>
    <row r="70" spans="1:1">
      <c r="A70" s="49">
        <v>247384423</v>
      </c>
    </row>
    <row r="71" spans="1:1">
      <c r="A71" s="49">
        <v>7008138418</v>
      </c>
    </row>
    <row r="72" spans="1:1">
      <c r="A72" s="49">
        <v>7007998354</v>
      </c>
    </row>
    <row r="73" spans="1:1">
      <c r="A73" s="49">
        <v>7007881634</v>
      </c>
    </row>
    <row r="74" spans="1:1">
      <c r="A74" s="49">
        <v>7008371858</v>
      </c>
    </row>
    <row r="75" spans="1:1">
      <c r="A75" s="49">
        <v>247384419</v>
      </c>
    </row>
    <row r="76" spans="1:1">
      <c r="A76" s="49">
        <v>7008955458</v>
      </c>
    </row>
    <row r="77" spans="1:1">
      <c r="A77" s="49">
        <v>7008815394</v>
      </c>
    </row>
    <row r="78" spans="1:1">
      <c r="A78" s="49">
        <v>7008651986</v>
      </c>
    </row>
    <row r="79" spans="1:1">
      <c r="A79" s="49">
        <v>7008838738</v>
      </c>
    </row>
    <row r="80" spans="1:1">
      <c r="A80" s="49">
        <v>7007344722</v>
      </c>
    </row>
    <row r="81" spans="1:1">
      <c r="A81" s="49">
        <v>7008768706</v>
      </c>
    </row>
    <row r="82" spans="1:1">
      <c r="A82" s="49">
        <v>7008722018</v>
      </c>
    </row>
    <row r="83" spans="1:1">
      <c r="A83" s="49">
        <v>7008698674</v>
      </c>
    </row>
    <row r="84" spans="1:1">
      <c r="A84" s="49">
        <v>7008745362</v>
      </c>
    </row>
    <row r="85" spans="1:1">
      <c r="A85" s="49">
        <v>7008675330</v>
      </c>
    </row>
    <row r="86" spans="1:1">
      <c r="A86" s="49">
        <v>7008628642</v>
      </c>
    </row>
    <row r="87" spans="1:1">
      <c r="A87" s="49">
        <v>7008908770</v>
      </c>
    </row>
    <row r="88" spans="1:1">
      <c r="A88" s="49">
        <v>7008885426</v>
      </c>
    </row>
    <row r="89" spans="1:1">
      <c r="A89" s="49">
        <v>7008932114</v>
      </c>
    </row>
    <row r="90" spans="1:1">
      <c r="A90" s="49">
        <v>7008862082</v>
      </c>
    </row>
    <row r="91" spans="1:1">
      <c r="A91" s="49">
        <v>7008792050</v>
      </c>
    </row>
    <row r="92" spans="1:1">
      <c r="A92" s="49">
        <v>247384416</v>
      </c>
    </row>
    <row r="93" spans="1:1">
      <c r="A93" s="49">
        <v>7008535266</v>
      </c>
    </row>
    <row r="94" spans="1:1">
      <c r="A94" s="49">
        <v>247384428</v>
      </c>
    </row>
    <row r="95" spans="1:1">
      <c r="A95" s="49">
        <v>247384399</v>
      </c>
    </row>
    <row r="96" spans="1:1">
      <c r="A96" s="49">
        <v>247384426</v>
      </c>
    </row>
    <row r="97" spans="1:1">
      <c r="A97" s="49">
        <v>247384430</v>
      </c>
    </row>
    <row r="98" spans="1:1">
      <c r="A98" s="49">
        <v>247384427</v>
      </c>
    </row>
    <row r="99" spans="1:1">
      <c r="A99" s="49">
        <v>247384408</v>
      </c>
    </row>
    <row r="100" spans="1:1">
      <c r="A100" s="49">
        <v>247384400</v>
      </c>
    </row>
    <row r="101" spans="1:1">
      <c r="A101" s="49">
        <v>7008325170</v>
      </c>
    </row>
    <row r="102" spans="1:1">
      <c r="A102" s="49">
        <v>7008465234</v>
      </c>
    </row>
    <row r="103" spans="1:1">
      <c r="A103" s="49">
        <v>247384411</v>
      </c>
    </row>
    <row r="104" spans="1:1">
      <c r="A104" s="49">
        <v>247384434</v>
      </c>
    </row>
    <row r="105" spans="1:1">
      <c r="A105" s="49">
        <v>247384435</v>
      </c>
    </row>
    <row r="106" spans="1:1">
      <c r="A106" s="49">
        <v>7007648194</v>
      </c>
    </row>
    <row r="107" spans="1:1">
      <c r="A107" s="49">
        <v>7007834946</v>
      </c>
    </row>
    <row r="108" spans="1:1">
      <c r="A108" s="49">
        <v>247384417</v>
      </c>
    </row>
    <row r="109" spans="1:1">
      <c r="A109" s="49">
        <v>7008091730</v>
      </c>
    </row>
    <row r="110" spans="1:1">
      <c r="A110" s="49">
        <v>7008255138</v>
      </c>
    </row>
    <row r="111" spans="1:1">
      <c r="A111" s="49">
        <v>247384412</v>
      </c>
    </row>
    <row r="112" spans="1:1">
      <c r="A112" s="49">
        <v>7007461442</v>
      </c>
    </row>
    <row r="113" spans="1:1">
      <c r="A113" s="49">
        <v>247384421</v>
      </c>
    </row>
    <row r="114" spans="1:1">
      <c r="A114" s="49">
        <v>7007624850</v>
      </c>
    </row>
    <row r="115" spans="1:1">
      <c r="A115" s="49">
        <v>247384436</v>
      </c>
    </row>
    <row r="116" spans="1:1">
      <c r="A116" s="49">
        <v>7007858290</v>
      </c>
    </row>
    <row r="117" spans="1:1">
      <c r="A117" s="49">
        <v>7008021698</v>
      </c>
    </row>
    <row r="118" spans="1:1">
      <c r="A118" s="49">
        <v>7008185106</v>
      </c>
    </row>
  </sheetData>
  <mergeCells count="1">
    <mergeCell ref="A1:C1"/>
  </mergeCells>
  <pageMargins left="0.75" right="0.75" top="1" bottom="1" header="0.5" footer="0.5"/>
  <pageSetup paperSize="0" orientation="portrait" horizontalDpi="0" verticalDpi="0" copies="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90A3-AE2E-4E38-984C-687816CD47FE}">
  <sheetPr>
    <tabColor rgb="FF00B0F0"/>
  </sheetPr>
  <dimension ref="A1:I846"/>
  <sheetViews>
    <sheetView workbookViewId="0">
      <selection activeCell="K11" sqref="K11"/>
    </sheetView>
  </sheetViews>
  <sheetFormatPr defaultColWidth="9.26953125" defaultRowHeight="14.5"/>
  <cols>
    <col min="1" max="1" width="12.1796875" style="49" bestFit="1" customWidth="1"/>
    <col min="2" max="2" width="18.26953125" style="49" bestFit="1" customWidth="1"/>
    <col min="3" max="3" width="14.26953125" style="49" bestFit="1" customWidth="1"/>
    <col min="4" max="4" width="9.26953125" style="66" bestFit="1" customWidth="1"/>
    <col min="5" max="5" width="9.26953125" style="49"/>
    <col min="6" max="6" width="12.1796875" style="49" bestFit="1" customWidth="1"/>
    <col min="7" max="7" width="18.54296875" style="68" bestFit="1" customWidth="1"/>
    <col min="8" max="8" width="14.26953125" style="67" bestFit="1" customWidth="1"/>
    <col min="9" max="9" width="9.26953125" style="66" bestFit="1" customWidth="1"/>
    <col min="10" max="16384" width="9.26953125" style="49"/>
  </cols>
  <sheetData>
    <row r="1" spans="1:9" ht="13">
      <c r="A1" s="279" t="s">
        <v>55</v>
      </c>
      <c r="B1" s="279"/>
      <c r="C1" s="279"/>
      <c r="D1" s="279"/>
      <c r="F1" s="279" t="s">
        <v>56</v>
      </c>
      <c r="G1" s="279"/>
      <c r="H1" s="279"/>
      <c r="I1" s="279"/>
    </row>
    <row r="3" spans="1:9" ht="13">
      <c r="A3" s="50" t="s">
        <v>57</v>
      </c>
      <c r="B3" s="51" t="s">
        <v>58</v>
      </c>
      <c r="C3" s="52" t="s">
        <v>53</v>
      </c>
      <c r="D3" s="53" t="s">
        <v>59</v>
      </c>
      <c r="F3" s="50" t="s">
        <v>57</v>
      </c>
      <c r="G3" s="51" t="s">
        <v>58</v>
      </c>
      <c r="H3" s="52" t="s">
        <v>53</v>
      </c>
      <c r="I3" s="53" t="s">
        <v>59</v>
      </c>
    </row>
    <row r="4" spans="1:9">
      <c r="A4" s="54">
        <v>7007344722</v>
      </c>
      <c r="B4" s="49" t="s">
        <v>60</v>
      </c>
      <c r="C4" s="55">
        <v>703845</v>
      </c>
      <c r="D4" s="56" t="s">
        <v>61</v>
      </c>
      <c r="F4" s="54">
        <v>247384397</v>
      </c>
      <c r="G4" s="57" t="s">
        <v>62</v>
      </c>
      <c r="H4" s="58">
        <v>1501828</v>
      </c>
      <c r="I4" s="56" t="s">
        <v>63</v>
      </c>
    </row>
    <row r="5" spans="1:9">
      <c r="A5" s="54">
        <v>7007368066</v>
      </c>
      <c r="B5" s="49" t="s">
        <v>64</v>
      </c>
      <c r="C5" s="55">
        <v>1978041</v>
      </c>
      <c r="D5" s="56" t="s">
        <v>61</v>
      </c>
      <c r="F5" s="54">
        <v>247384398</v>
      </c>
      <c r="G5" s="57" t="s">
        <v>65</v>
      </c>
      <c r="H5" s="58">
        <v>1119989</v>
      </c>
      <c r="I5" s="56" t="s">
        <v>63</v>
      </c>
    </row>
    <row r="6" spans="1:9">
      <c r="A6" s="54">
        <v>7007391410</v>
      </c>
      <c r="B6" s="49" t="s">
        <v>66</v>
      </c>
      <c r="C6" s="55">
        <v>1952081</v>
      </c>
      <c r="D6" s="56" t="s">
        <v>61</v>
      </c>
      <c r="F6" s="54">
        <v>247384399</v>
      </c>
      <c r="G6" s="57" t="s">
        <v>67</v>
      </c>
      <c r="H6" s="58">
        <v>2102767</v>
      </c>
      <c r="I6" s="56" t="s">
        <v>63</v>
      </c>
    </row>
    <row r="7" spans="1:9">
      <c r="A7" s="54">
        <v>7007414754</v>
      </c>
      <c r="B7" s="49" t="s">
        <v>68</v>
      </c>
      <c r="C7" s="55">
        <v>611251</v>
      </c>
      <c r="D7" s="56" t="s">
        <v>61</v>
      </c>
      <c r="F7" s="54">
        <v>247384400</v>
      </c>
      <c r="G7" s="57" t="s">
        <v>69</v>
      </c>
      <c r="H7" s="58">
        <v>1105812</v>
      </c>
      <c r="I7" s="56" t="s">
        <v>63</v>
      </c>
    </row>
    <row r="8" spans="1:9">
      <c r="A8" s="54">
        <v>7007438098</v>
      </c>
      <c r="B8" s="49" t="s">
        <v>70</v>
      </c>
      <c r="C8" s="55">
        <v>1801749</v>
      </c>
      <c r="D8" s="56" t="s">
        <v>61</v>
      </c>
      <c r="F8" s="54">
        <v>247384401</v>
      </c>
      <c r="G8" s="57" t="s">
        <v>71</v>
      </c>
      <c r="H8" s="58">
        <v>1314509</v>
      </c>
      <c r="I8" s="56" t="s">
        <v>63</v>
      </c>
    </row>
    <row r="9" spans="1:9">
      <c r="A9" s="54">
        <v>7007461442</v>
      </c>
      <c r="B9" s="49" t="s">
        <v>72</v>
      </c>
      <c r="C9" s="55">
        <v>1946424</v>
      </c>
      <c r="D9" s="56" t="s">
        <v>61</v>
      </c>
      <c r="F9" s="54">
        <v>247384402</v>
      </c>
      <c r="G9" s="57" t="s">
        <v>73</v>
      </c>
      <c r="H9" s="58">
        <v>611251</v>
      </c>
      <c r="I9" s="56" t="s">
        <v>63</v>
      </c>
    </row>
    <row r="10" spans="1:9">
      <c r="A10" s="54">
        <v>7007484786</v>
      </c>
      <c r="B10" s="49" t="s">
        <v>74</v>
      </c>
      <c r="C10" s="55">
        <v>876490</v>
      </c>
      <c r="D10" s="56" t="s">
        <v>61</v>
      </c>
      <c r="F10" s="54">
        <v>247384403</v>
      </c>
      <c r="G10" s="57" t="s">
        <v>75</v>
      </c>
      <c r="H10" s="58">
        <v>1801749</v>
      </c>
      <c r="I10" s="56" t="s">
        <v>63</v>
      </c>
    </row>
    <row r="11" spans="1:9">
      <c r="A11" s="54">
        <v>7007508130</v>
      </c>
      <c r="B11" s="49" t="s">
        <v>76</v>
      </c>
      <c r="C11" s="55">
        <v>190825</v>
      </c>
      <c r="D11" s="56" t="s">
        <v>61</v>
      </c>
      <c r="F11" s="54">
        <v>247384404</v>
      </c>
      <c r="G11" s="57" t="s">
        <v>77</v>
      </c>
      <c r="H11" s="58">
        <v>1946424</v>
      </c>
      <c r="I11" s="56" t="s">
        <v>63</v>
      </c>
    </row>
    <row r="12" spans="1:9">
      <c r="A12" s="54">
        <v>7007531474</v>
      </c>
      <c r="B12" s="49" t="s">
        <v>78</v>
      </c>
      <c r="C12" s="55">
        <v>691070</v>
      </c>
      <c r="D12" s="56" t="s">
        <v>61</v>
      </c>
      <c r="F12" s="54">
        <v>247384405</v>
      </c>
      <c r="G12" s="57" t="s">
        <v>79</v>
      </c>
      <c r="H12" s="58">
        <v>2072873</v>
      </c>
      <c r="I12" s="56" t="s">
        <v>63</v>
      </c>
    </row>
    <row r="13" spans="1:9">
      <c r="A13" s="54">
        <v>7007554818</v>
      </c>
      <c r="B13" s="49" t="s">
        <v>80</v>
      </c>
      <c r="C13" s="55">
        <v>1947349</v>
      </c>
      <c r="D13" s="56" t="s">
        <v>61</v>
      </c>
      <c r="F13" s="54">
        <v>247384406</v>
      </c>
      <c r="G13" s="57" t="s">
        <v>81</v>
      </c>
      <c r="H13" s="58">
        <v>1064092</v>
      </c>
      <c r="I13" s="56" t="s">
        <v>63</v>
      </c>
    </row>
    <row r="14" spans="1:9">
      <c r="A14" s="54">
        <v>7007578162</v>
      </c>
      <c r="B14" s="49" t="s">
        <v>82</v>
      </c>
      <c r="C14" s="55">
        <v>986721</v>
      </c>
      <c r="D14" s="56" t="s">
        <v>61</v>
      </c>
      <c r="F14" s="54">
        <v>247384407</v>
      </c>
      <c r="G14" s="57" t="s">
        <v>83</v>
      </c>
      <c r="H14" s="58">
        <v>1731196</v>
      </c>
      <c r="I14" s="56" t="s">
        <v>63</v>
      </c>
    </row>
    <row r="15" spans="1:9">
      <c r="A15" s="54">
        <v>7007601506</v>
      </c>
      <c r="B15" s="49" t="s">
        <v>84</v>
      </c>
      <c r="C15" s="55">
        <v>1076782</v>
      </c>
      <c r="D15" s="56" t="s">
        <v>61</v>
      </c>
      <c r="F15" s="54">
        <v>247384408</v>
      </c>
      <c r="G15" s="57" t="s">
        <v>85</v>
      </c>
      <c r="H15" s="58">
        <v>71698</v>
      </c>
      <c r="I15" s="56" t="s">
        <v>63</v>
      </c>
    </row>
    <row r="16" spans="1:9">
      <c r="A16" s="54">
        <v>7007624850</v>
      </c>
      <c r="B16" s="49" t="s">
        <v>86</v>
      </c>
      <c r="C16" s="55">
        <v>119090</v>
      </c>
      <c r="D16" s="56" t="s">
        <v>61</v>
      </c>
      <c r="F16" s="54">
        <v>247384409</v>
      </c>
      <c r="G16" s="57" t="s">
        <v>87</v>
      </c>
      <c r="H16" s="58">
        <v>1622967</v>
      </c>
      <c r="I16" s="56" t="s">
        <v>63</v>
      </c>
    </row>
    <row r="17" spans="1:9">
      <c r="A17" s="54">
        <v>7007648194</v>
      </c>
      <c r="B17" s="49" t="s">
        <v>88</v>
      </c>
      <c r="C17" s="55">
        <v>321891</v>
      </c>
      <c r="D17" s="56" t="s">
        <v>61</v>
      </c>
      <c r="F17" s="54">
        <v>247384410</v>
      </c>
      <c r="G17" s="57" t="s">
        <v>89</v>
      </c>
      <c r="H17" s="58">
        <v>986721</v>
      </c>
      <c r="I17" s="56" t="s">
        <v>63</v>
      </c>
    </row>
    <row r="18" spans="1:9">
      <c r="A18" s="54">
        <v>7007671538</v>
      </c>
      <c r="B18" s="49" t="s">
        <v>90</v>
      </c>
      <c r="C18" s="55">
        <v>1512471</v>
      </c>
      <c r="D18" s="56" t="s">
        <v>61</v>
      </c>
      <c r="F18" s="54">
        <v>247384411</v>
      </c>
      <c r="G18" s="57" t="s">
        <v>91</v>
      </c>
      <c r="H18" s="58">
        <v>1076782</v>
      </c>
      <c r="I18" s="56" t="s">
        <v>63</v>
      </c>
    </row>
    <row r="19" spans="1:9">
      <c r="A19" s="54">
        <v>7007694882</v>
      </c>
      <c r="B19" s="49" t="s">
        <v>92</v>
      </c>
      <c r="C19" s="55">
        <v>2072873</v>
      </c>
      <c r="D19" s="56" t="s">
        <v>61</v>
      </c>
      <c r="F19" s="54">
        <v>247384412</v>
      </c>
      <c r="G19" s="57" t="s">
        <v>93</v>
      </c>
      <c r="H19" s="58">
        <v>119090</v>
      </c>
      <c r="I19" s="56" t="s">
        <v>63</v>
      </c>
    </row>
    <row r="20" spans="1:9">
      <c r="A20" s="54">
        <v>7007718226</v>
      </c>
      <c r="B20" s="49" t="s">
        <v>94</v>
      </c>
      <c r="C20" s="55">
        <v>1064092</v>
      </c>
      <c r="D20" s="56" t="s">
        <v>61</v>
      </c>
      <c r="F20" s="54">
        <v>247384413</v>
      </c>
      <c r="G20" s="57" t="s">
        <v>95</v>
      </c>
      <c r="H20" s="58">
        <v>321891</v>
      </c>
      <c r="I20" s="56" t="s">
        <v>63</v>
      </c>
    </row>
    <row r="21" spans="1:9">
      <c r="A21" s="54">
        <v>7007741570</v>
      </c>
      <c r="B21" s="49" t="s">
        <v>96</v>
      </c>
      <c r="C21" s="55">
        <v>1731196</v>
      </c>
      <c r="D21" s="56" t="s">
        <v>61</v>
      </c>
      <c r="F21" s="54">
        <v>247384414</v>
      </c>
      <c r="G21" s="57" t="s">
        <v>97</v>
      </c>
      <c r="H21" s="58">
        <v>1512471</v>
      </c>
      <c r="I21" s="56" t="s">
        <v>63</v>
      </c>
    </row>
    <row r="22" spans="1:9">
      <c r="A22" s="54">
        <v>7007764914</v>
      </c>
      <c r="B22" s="49" t="s">
        <v>98</v>
      </c>
      <c r="C22" s="55">
        <v>71698</v>
      </c>
      <c r="D22" s="56" t="s">
        <v>61</v>
      </c>
      <c r="F22" s="54">
        <v>247384415</v>
      </c>
      <c r="G22" s="57" t="s">
        <v>99</v>
      </c>
      <c r="H22" s="58">
        <v>703845</v>
      </c>
      <c r="I22" s="56" t="s">
        <v>63</v>
      </c>
    </row>
    <row r="23" spans="1:9">
      <c r="A23" s="54">
        <v>7007788258</v>
      </c>
      <c r="B23" s="49" t="s">
        <v>100</v>
      </c>
      <c r="C23" s="55">
        <v>1622967</v>
      </c>
      <c r="D23" s="56" t="s">
        <v>61</v>
      </c>
      <c r="F23" s="54">
        <v>247384416</v>
      </c>
      <c r="G23" s="57" t="s">
        <v>101</v>
      </c>
      <c r="H23" s="58">
        <v>1978041</v>
      </c>
      <c r="I23" s="56" t="s">
        <v>63</v>
      </c>
    </row>
    <row r="24" spans="1:9">
      <c r="A24" s="54">
        <v>7007811602</v>
      </c>
      <c r="B24" s="49" t="s">
        <v>102</v>
      </c>
      <c r="C24" s="55">
        <v>486</v>
      </c>
      <c r="D24" s="56" t="s">
        <v>61</v>
      </c>
      <c r="F24" s="54">
        <v>247384417</v>
      </c>
      <c r="G24" s="57" t="s">
        <v>103</v>
      </c>
      <c r="H24" s="58">
        <v>1952081</v>
      </c>
      <c r="I24" s="56" t="s">
        <v>63</v>
      </c>
    </row>
    <row r="25" spans="1:9">
      <c r="A25" s="54">
        <v>7007834946</v>
      </c>
      <c r="B25" s="49" t="s">
        <v>104</v>
      </c>
      <c r="C25" s="55">
        <v>1519024</v>
      </c>
      <c r="D25" s="56" t="s">
        <v>61</v>
      </c>
      <c r="F25" s="54">
        <v>247384418</v>
      </c>
      <c r="G25" s="57" t="s">
        <v>105</v>
      </c>
      <c r="H25" s="58">
        <v>486</v>
      </c>
      <c r="I25" s="56" t="s">
        <v>63</v>
      </c>
    </row>
    <row r="26" spans="1:9">
      <c r="A26" s="54">
        <v>7007858290</v>
      </c>
      <c r="B26" s="49" t="s">
        <v>106</v>
      </c>
      <c r="C26" s="55">
        <v>1201947</v>
      </c>
      <c r="D26" s="56" t="s">
        <v>61</v>
      </c>
      <c r="F26" s="54">
        <v>247384419</v>
      </c>
      <c r="G26" s="57" t="s">
        <v>107</v>
      </c>
      <c r="H26" s="58">
        <v>1519024</v>
      </c>
      <c r="I26" s="56" t="s">
        <v>63</v>
      </c>
    </row>
    <row r="27" spans="1:9">
      <c r="A27" s="54">
        <v>7007881634</v>
      </c>
      <c r="B27" s="49" t="s">
        <v>108</v>
      </c>
      <c r="C27" s="55">
        <v>1320561</v>
      </c>
      <c r="D27" s="56" t="s">
        <v>61</v>
      </c>
      <c r="F27" s="54">
        <v>247384420</v>
      </c>
      <c r="G27" s="57" t="s">
        <v>109</v>
      </c>
      <c r="H27" s="58">
        <v>1201947</v>
      </c>
      <c r="I27" s="56" t="s">
        <v>63</v>
      </c>
    </row>
    <row r="28" spans="1:9">
      <c r="A28" s="54">
        <v>7007904978</v>
      </c>
      <c r="B28" s="49" t="s">
        <v>110</v>
      </c>
      <c r="C28" s="55">
        <v>1973159</v>
      </c>
      <c r="D28" s="56" t="s">
        <v>61</v>
      </c>
      <c r="F28" s="54">
        <v>247384421</v>
      </c>
      <c r="G28" s="57" t="s">
        <v>111</v>
      </c>
      <c r="H28" s="58">
        <v>1320561</v>
      </c>
      <c r="I28" s="56" t="s">
        <v>63</v>
      </c>
    </row>
    <row r="29" spans="1:9">
      <c r="A29" s="54">
        <v>7007928322</v>
      </c>
      <c r="B29" s="49" t="s">
        <v>112</v>
      </c>
      <c r="C29" s="55">
        <v>112699</v>
      </c>
      <c r="D29" s="56" t="s">
        <v>61</v>
      </c>
      <c r="F29" s="54">
        <v>247384422</v>
      </c>
      <c r="G29" s="57" t="s">
        <v>113</v>
      </c>
      <c r="H29" s="58">
        <v>1441247</v>
      </c>
      <c r="I29" s="56" t="s">
        <v>63</v>
      </c>
    </row>
    <row r="30" spans="1:9">
      <c r="A30" s="54">
        <v>7007951666</v>
      </c>
      <c r="B30" s="49" t="s">
        <v>114</v>
      </c>
      <c r="C30" s="55">
        <v>1078787</v>
      </c>
      <c r="D30" s="56" t="s">
        <v>61</v>
      </c>
      <c r="F30" s="54">
        <v>247384423</v>
      </c>
      <c r="G30" s="57" t="s">
        <v>115</v>
      </c>
      <c r="H30" s="58">
        <v>384480</v>
      </c>
      <c r="I30" s="56" t="s">
        <v>63</v>
      </c>
    </row>
    <row r="31" spans="1:9">
      <c r="A31" s="54">
        <v>7007975010</v>
      </c>
      <c r="B31" s="49" t="s">
        <v>116</v>
      </c>
      <c r="C31" s="55">
        <v>1328639</v>
      </c>
      <c r="D31" s="56" t="s">
        <v>61</v>
      </c>
      <c r="F31" s="54">
        <v>247384425</v>
      </c>
      <c r="G31" s="57" t="s">
        <v>117</v>
      </c>
      <c r="H31" s="58">
        <v>876490</v>
      </c>
      <c r="I31" s="56" t="s">
        <v>63</v>
      </c>
    </row>
    <row r="32" spans="1:9">
      <c r="A32" s="54">
        <v>7007998354</v>
      </c>
      <c r="B32" s="49" t="s">
        <v>118</v>
      </c>
      <c r="C32" s="55">
        <v>39987</v>
      </c>
      <c r="D32" s="56" t="s">
        <v>61</v>
      </c>
      <c r="F32" s="54">
        <v>247384426</v>
      </c>
      <c r="G32" s="57" t="s">
        <v>119</v>
      </c>
      <c r="H32" s="58">
        <v>190825</v>
      </c>
      <c r="I32" s="56" t="s">
        <v>63</v>
      </c>
    </row>
    <row r="33" spans="1:9">
      <c r="A33" s="54">
        <v>7008021698</v>
      </c>
      <c r="B33" s="49" t="s">
        <v>120</v>
      </c>
      <c r="C33" s="55">
        <v>1555994</v>
      </c>
      <c r="D33" s="56" t="s">
        <v>61</v>
      </c>
      <c r="F33" s="54">
        <v>247384427</v>
      </c>
      <c r="G33" s="57" t="s">
        <v>121</v>
      </c>
      <c r="H33" s="58">
        <v>691070</v>
      </c>
      <c r="I33" s="56" t="s">
        <v>63</v>
      </c>
    </row>
    <row r="34" spans="1:9">
      <c r="A34" s="54">
        <v>7008045042</v>
      </c>
      <c r="B34" s="49" t="s">
        <v>122</v>
      </c>
      <c r="C34" s="55">
        <v>858458</v>
      </c>
      <c r="D34" s="56" t="s">
        <v>61</v>
      </c>
      <c r="F34" s="54">
        <v>247384428</v>
      </c>
      <c r="G34" s="57" t="s">
        <v>123</v>
      </c>
      <c r="H34" s="58">
        <v>1947349</v>
      </c>
      <c r="I34" s="56" t="s">
        <v>63</v>
      </c>
    </row>
    <row r="35" spans="1:9">
      <c r="A35" s="54">
        <v>7008068386</v>
      </c>
      <c r="B35" s="49" t="s">
        <v>124</v>
      </c>
      <c r="C35" s="55">
        <v>1619498</v>
      </c>
      <c r="D35" s="56" t="s">
        <v>61</v>
      </c>
      <c r="F35" s="54">
        <v>247384429</v>
      </c>
      <c r="G35" s="57" t="s">
        <v>125</v>
      </c>
      <c r="H35" s="58">
        <v>438039</v>
      </c>
      <c r="I35" s="56" t="s">
        <v>63</v>
      </c>
    </row>
    <row r="36" spans="1:9">
      <c r="A36" s="54">
        <v>7008091730</v>
      </c>
      <c r="B36" s="49" t="s">
        <v>126</v>
      </c>
      <c r="C36" s="55">
        <v>1313936</v>
      </c>
      <c r="D36" s="56" t="s">
        <v>61</v>
      </c>
      <c r="F36" s="54">
        <v>247384430</v>
      </c>
      <c r="G36" s="57" t="s">
        <v>127</v>
      </c>
      <c r="H36" s="58">
        <v>1532883</v>
      </c>
      <c r="I36" s="56" t="s">
        <v>63</v>
      </c>
    </row>
    <row r="37" spans="1:9">
      <c r="A37" s="54">
        <v>7008115074</v>
      </c>
      <c r="B37" s="49" t="s">
        <v>128</v>
      </c>
      <c r="C37" s="55">
        <v>602650</v>
      </c>
      <c r="D37" s="56" t="s">
        <v>61</v>
      </c>
      <c r="F37" s="54">
        <v>247384431</v>
      </c>
      <c r="G37" s="57" t="s">
        <v>129</v>
      </c>
      <c r="H37" s="58">
        <v>448746</v>
      </c>
      <c r="I37" s="56" t="s">
        <v>63</v>
      </c>
    </row>
    <row r="38" spans="1:9">
      <c r="A38" s="54">
        <v>7008138418</v>
      </c>
      <c r="B38" s="49" t="s">
        <v>130</v>
      </c>
      <c r="C38" s="55">
        <v>137459</v>
      </c>
      <c r="D38" s="56" t="s">
        <v>61</v>
      </c>
      <c r="F38" s="54">
        <v>247384432</v>
      </c>
      <c r="G38" s="57" t="s">
        <v>131</v>
      </c>
      <c r="H38" s="58">
        <v>1133295</v>
      </c>
      <c r="I38" s="56" t="s">
        <v>63</v>
      </c>
    </row>
    <row r="39" spans="1:9">
      <c r="A39" s="54">
        <v>7008161762</v>
      </c>
      <c r="B39" s="49" t="s">
        <v>132</v>
      </c>
      <c r="C39" s="55">
        <v>1083848</v>
      </c>
      <c r="D39" s="56" t="s">
        <v>61</v>
      </c>
      <c r="F39" s="54">
        <v>247384433</v>
      </c>
      <c r="G39" s="57" t="s">
        <v>133</v>
      </c>
      <c r="H39" s="58">
        <v>883287</v>
      </c>
      <c r="I39" s="56" t="s">
        <v>63</v>
      </c>
    </row>
    <row r="40" spans="1:9">
      <c r="A40" s="54">
        <v>7008185106</v>
      </c>
      <c r="B40" s="49" t="s">
        <v>134</v>
      </c>
      <c r="C40" s="55">
        <v>966680</v>
      </c>
      <c r="D40" s="56" t="s">
        <v>61</v>
      </c>
      <c r="F40" s="54">
        <v>247384434</v>
      </c>
      <c r="G40" s="57" t="s">
        <v>135</v>
      </c>
      <c r="H40" s="58">
        <v>1950999</v>
      </c>
      <c r="I40" s="56" t="s">
        <v>63</v>
      </c>
    </row>
    <row r="41" spans="1:9">
      <c r="A41" s="54">
        <v>7008208450</v>
      </c>
      <c r="B41" s="49" t="s">
        <v>136</v>
      </c>
      <c r="C41" s="55">
        <v>19477</v>
      </c>
      <c r="D41" s="56" t="s">
        <v>61</v>
      </c>
      <c r="F41" s="54">
        <v>247384435</v>
      </c>
      <c r="G41" s="57" t="s">
        <v>137</v>
      </c>
      <c r="H41" s="58">
        <v>417594</v>
      </c>
      <c r="I41" s="56" t="s">
        <v>63</v>
      </c>
    </row>
    <row r="42" spans="1:9">
      <c r="A42" s="54">
        <v>7008231794</v>
      </c>
      <c r="B42" s="49" t="s">
        <v>138</v>
      </c>
      <c r="C42" s="55">
        <v>1752310</v>
      </c>
      <c r="D42" s="56" t="s">
        <v>61</v>
      </c>
      <c r="F42" s="54">
        <v>247384436</v>
      </c>
      <c r="G42" s="57" t="s">
        <v>139</v>
      </c>
      <c r="H42" s="58">
        <v>428920</v>
      </c>
      <c r="I42" s="56" t="s">
        <v>63</v>
      </c>
    </row>
    <row r="43" spans="1:9">
      <c r="A43" s="54">
        <v>7008255138</v>
      </c>
      <c r="B43" s="49" t="s">
        <v>140</v>
      </c>
      <c r="C43" s="55">
        <v>1135635</v>
      </c>
      <c r="D43" s="56" t="s">
        <v>61</v>
      </c>
      <c r="F43" s="54">
        <v>247384437</v>
      </c>
      <c r="G43" s="57" t="s">
        <v>141</v>
      </c>
      <c r="H43" s="58">
        <v>1135635</v>
      </c>
      <c r="I43" s="56" t="s">
        <v>63</v>
      </c>
    </row>
    <row r="44" spans="1:9">
      <c r="A44" s="54">
        <v>7008278482</v>
      </c>
      <c r="B44" s="49" t="s">
        <v>142</v>
      </c>
      <c r="C44" s="55">
        <v>1441247</v>
      </c>
      <c r="D44" s="56" t="s">
        <v>61</v>
      </c>
      <c r="F44" s="54">
        <v>247384438</v>
      </c>
      <c r="G44" s="57" t="s">
        <v>143</v>
      </c>
      <c r="H44" s="58">
        <v>1973159</v>
      </c>
      <c r="I44" s="56" t="s">
        <v>63</v>
      </c>
    </row>
    <row r="45" spans="1:9">
      <c r="A45" s="54">
        <v>7008301826</v>
      </c>
      <c r="B45" s="49" t="s">
        <v>144</v>
      </c>
      <c r="C45" s="55">
        <v>384480</v>
      </c>
      <c r="D45" s="56" t="s">
        <v>61</v>
      </c>
      <c r="F45" s="54">
        <v>247384439</v>
      </c>
      <c r="G45" s="57" t="s">
        <v>145</v>
      </c>
      <c r="H45" s="58">
        <v>112699</v>
      </c>
      <c r="I45" s="56" t="s">
        <v>63</v>
      </c>
    </row>
    <row r="46" spans="1:9">
      <c r="A46" s="54">
        <v>7008325170</v>
      </c>
      <c r="B46" s="49" t="s">
        <v>146</v>
      </c>
      <c r="C46" s="55">
        <v>1501828</v>
      </c>
      <c r="D46" s="56" t="s">
        <v>61</v>
      </c>
      <c r="F46" s="54">
        <v>247384440</v>
      </c>
      <c r="G46" s="57" t="s">
        <v>147</v>
      </c>
      <c r="H46" s="58">
        <v>1078787</v>
      </c>
      <c r="I46" s="56" t="s">
        <v>63</v>
      </c>
    </row>
    <row r="47" spans="1:9">
      <c r="A47" s="54">
        <v>7008348514</v>
      </c>
      <c r="B47" s="49" t="s">
        <v>148</v>
      </c>
      <c r="C47" s="55">
        <v>1119989</v>
      </c>
      <c r="D47" s="56" t="s">
        <v>61</v>
      </c>
      <c r="F47" s="54">
        <v>247384441</v>
      </c>
      <c r="G47" s="57" t="s">
        <v>149</v>
      </c>
      <c r="H47" s="58">
        <v>1328639</v>
      </c>
      <c r="I47" s="56" t="s">
        <v>63</v>
      </c>
    </row>
    <row r="48" spans="1:9">
      <c r="A48" s="54">
        <v>7008371858</v>
      </c>
      <c r="B48" s="49" t="s">
        <v>150</v>
      </c>
      <c r="C48" s="55">
        <v>2102767</v>
      </c>
      <c r="D48" s="56" t="s">
        <v>61</v>
      </c>
      <c r="F48" s="59">
        <v>247384442</v>
      </c>
      <c r="G48" s="60" t="s">
        <v>151</v>
      </c>
      <c r="H48" s="61">
        <v>39987</v>
      </c>
      <c r="I48" s="62" t="s">
        <v>63</v>
      </c>
    </row>
    <row r="49" spans="1:4">
      <c r="A49" s="54">
        <v>7008395202</v>
      </c>
      <c r="B49" s="49" t="s">
        <v>152</v>
      </c>
      <c r="C49" s="55">
        <v>1105812</v>
      </c>
      <c r="D49" s="56" t="s">
        <v>61</v>
      </c>
    </row>
    <row r="50" spans="1:4">
      <c r="A50" s="54">
        <v>7008418546</v>
      </c>
      <c r="B50" s="49" t="s">
        <v>153</v>
      </c>
      <c r="C50" s="55">
        <v>1314509</v>
      </c>
      <c r="D50" s="56" t="s">
        <v>61</v>
      </c>
    </row>
    <row r="51" spans="1:4">
      <c r="A51" s="54">
        <v>7008441890</v>
      </c>
      <c r="B51" s="49" t="s">
        <v>154</v>
      </c>
      <c r="C51" s="55">
        <v>438039</v>
      </c>
      <c r="D51" s="56" t="s">
        <v>61</v>
      </c>
    </row>
    <row r="52" spans="1:4">
      <c r="A52" s="54">
        <v>7008465234</v>
      </c>
      <c r="B52" s="49" t="s">
        <v>155</v>
      </c>
      <c r="C52" s="55">
        <v>1532883</v>
      </c>
      <c r="D52" s="56" t="s">
        <v>61</v>
      </c>
    </row>
    <row r="53" spans="1:4">
      <c r="A53" s="54">
        <v>7008488578</v>
      </c>
      <c r="B53" s="49" t="s">
        <v>156</v>
      </c>
      <c r="C53" s="55">
        <v>448746</v>
      </c>
      <c r="D53" s="56" t="s">
        <v>61</v>
      </c>
    </row>
    <row r="54" spans="1:4">
      <c r="A54" s="54">
        <v>7008511922</v>
      </c>
      <c r="B54" s="49" t="s">
        <v>157</v>
      </c>
      <c r="C54" s="55">
        <v>1133295</v>
      </c>
      <c r="D54" s="56" t="s">
        <v>61</v>
      </c>
    </row>
    <row r="55" spans="1:4">
      <c r="A55" s="54">
        <v>7008535266</v>
      </c>
      <c r="B55" s="49" t="s">
        <v>158</v>
      </c>
      <c r="C55" s="55">
        <v>883287</v>
      </c>
      <c r="D55" s="56" t="s">
        <v>61</v>
      </c>
    </row>
    <row r="56" spans="1:4">
      <c r="A56" s="54">
        <v>7008558610</v>
      </c>
      <c r="B56" s="49" t="s">
        <v>159</v>
      </c>
      <c r="C56" s="55">
        <v>1950999</v>
      </c>
      <c r="D56" s="56" t="s">
        <v>61</v>
      </c>
    </row>
    <row r="57" spans="1:4">
      <c r="A57" s="54">
        <v>7008581954</v>
      </c>
      <c r="B57" s="49" t="s">
        <v>160</v>
      </c>
      <c r="C57" s="55">
        <v>417594</v>
      </c>
      <c r="D57" s="56" t="s">
        <v>61</v>
      </c>
    </row>
    <row r="58" spans="1:4">
      <c r="A58" s="54">
        <v>7008605298</v>
      </c>
      <c r="B58" s="49" t="s">
        <v>161</v>
      </c>
      <c r="C58" s="55">
        <v>428920</v>
      </c>
      <c r="D58" s="56" t="s">
        <v>61</v>
      </c>
    </row>
    <row r="59" spans="1:4">
      <c r="A59" s="54">
        <v>7008628642</v>
      </c>
      <c r="B59" s="49" t="s">
        <v>162</v>
      </c>
      <c r="C59" s="55">
        <v>586897</v>
      </c>
      <c r="D59" s="56" t="s">
        <v>61</v>
      </c>
    </row>
    <row r="60" spans="1:4">
      <c r="A60" s="54">
        <v>7008651986</v>
      </c>
      <c r="B60" s="49" t="s">
        <v>163</v>
      </c>
      <c r="C60" s="55">
        <v>563972</v>
      </c>
      <c r="D60" s="56" t="s">
        <v>61</v>
      </c>
    </row>
    <row r="61" spans="1:4">
      <c r="A61" s="54">
        <v>7008675330</v>
      </c>
      <c r="B61" s="49" t="s">
        <v>164</v>
      </c>
      <c r="C61" s="55">
        <v>817814</v>
      </c>
      <c r="D61" s="56" t="s">
        <v>61</v>
      </c>
    </row>
    <row r="62" spans="1:4">
      <c r="A62" s="54">
        <v>7008698674</v>
      </c>
      <c r="B62" s="49" t="s">
        <v>165</v>
      </c>
      <c r="C62" s="55">
        <v>869027</v>
      </c>
      <c r="D62" s="56" t="s">
        <v>61</v>
      </c>
    </row>
    <row r="63" spans="1:4">
      <c r="A63" s="54">
        <v>7008722018</v>
      </c>
      <c r="B63" s="49" t="s">
        <v>166</v>
      </c>
      <c r="C63" s="55">
        <v>298642</v>
      </c>
      <c r="D63" s="56" t="s">
        <v>61</v>
      </c>
    </row>
    <row r="64" spans="1:4">
      <c r="A64" s="54">
        <v>7008745362</v>
      </c>
      <c r="B64" s="49" t="s">
        <v>167</v>
      </c>
      <c r="C64" s="55">
        <v>704201</v>
      </c>
      <c r="D64" s="56" t="s">
        <v>61</v>
      </c>
    </row>
    <row r="65" spans="1:4">
      <c r="A65" s="54">
        <v>7008768706</v>
      </c>
      <c r="B65" s="49" t="s">
        <v>168</v>
      </c>
      <c r="C65" s="55">
        <v>1806671</v>
      </c>
      <c r="D65" s="56" t="s">
        <v>61</v>
      </c>
    </row>
    <row r="66" spans="1:4">
      <c r="A66" s="54">
        <v>7008792050</v>
      </c>
      <c r="B66" s="49" t="s">
        <v>169</v>
      </c>
      <c r="C66" s="55">
        <v>851739</v>
      </c>
      <c r="D66" s="56" t="s">
        <v>61</v>
      </c>
    </row>
    <row r="67" spans="1:4">
      <c r="A67" s="54">
        <v>7008815394</v>
      </c>
      <c r="B67" s="49" t="s">
        <v>170</v>
      </c>
      <c r="C67" s="55">
        <v>1765580</v>
      </c>
      <c r="D67" s="56" t="s">
        <v>61</v>
      </c>
    </row>
    <row r="68" spans="1:4">
      <c r="A68" s="54">
        <v>7008838738</v>
      </c>
      <c r="B68" s="49" t="s">
        <v>171</v>
      </c>
      <c r="C68" s="55">
        <v>624256</v>
      </c>
      <c r="D68" s="56" t="s">
        <v>61</v>
      </c>
    </row>
    <row r="69" spans="1:4">
      <c r="A69" s="54">
        <v>7008862082</v>
      </c>
      <c r="B69" s="49" t="s">
        <v>172</v>
      </c>
      <c r="C69" s="55">
        <v>1454552</v>
      </c>
      <c r="D69" s="56" t="s">
        <v>61</v>
      </c>
    </row>
    <row r="70" spans="1:4">
      <c r="A70" s="54">
        <v>7008885426</v>
      </c>
      <c r="B70" s="49" t="s">
        <v>173</v>
      </c>
      <c r="C70" s="55">
        <v>666896</v>
      </c>
      <c r="D70" s="56" t="s">
        <v>61</v>
      </c>
    </row>
    <row r="71" spans="1:4">
      <c r="A71" s="54">
        <v>7008908770</v>
      </c>
      <c r="B71" s="49" t="s">
        <v>174</v>
      </c>
      <c r="C71" s="55">
        <v>2137776</v>
      </c>
      <c r="D71" s="56" t="s">
        <v>61</v>
      </c>
    </row>
    <row r="72" spans="1:4">
      <c r="A72" s="54">
        <v>7008932114</v>
      </c>
      <c r="B72" s="49" t="s">
        <v>175</v>
      </c>
      <c r="C72" s="55">
        <v>491034</v>
      </c>
      <c r="D72" s="56" t="s">
        <v>61</v>
      </c>
    </row>
    <row r="73" spans="1:4">
      <c r="A73" s="59">
        <v>7008955458</v>
      </c>
      <c r="B73" s="63" t="s">
        <v>176</v>
      </c>
      <c r="C73" s="64">
        <v>1097508</v>
      </c>
      <c r="D73" s="62" t="s">
        <v>61</v>
      </c>
    </row>
    <row r="74" spans="1:4">
      <c r="B74" s="65"/>
    </row>
    <row r="75" spans="1:4">
      <c r="B75" s="65"/>
    </row>
    <row r="76" spans="1:4">
      <c r="B76" s="65"/>
    </row>
    <row r="77" spans="1:4">
      <c r="B77" s="65"/>
    </row>
    <row r="78" spans="1:4">
      <c r="B78" s="65"/>
    </row>
    <row r="79" spans="1:4">
      <c r="B79" s="65"/>
    </row>
    <row r="80" spans="1:4">
      <c r="B80" s="65"/>
    </row>
    <row r="81" spans="2:2">
      <c r="B81" s="65"/>
    </row>
    <row r="82" spans="2:2">
      <c r="B82" s="65"/>
    </row>
    <row r="83" spans="2:2">
      <c r="B83" s="65"/>
    </row>
    <row r="84" spans="2:2">
      <c r="B84" s="65"/>
    </row>
    <row r="85" spans="2:2">
      <c r="B85" s="65"/>
    </row>
    <row r="86" spans="2:2">
      <c r="B86" s="65"/>
    </row>
    <row r="87" spans="2:2">
      <c r="B87" s="65"/>
    </row>
    <row r="88" spans="2:2">
      <c r="B88" s="65"/>
    </row>
    <row r="89" spans="2:2">
      <c r="B89" s="65"/>
    </row>
    <row r="90" spans="2:2">
      <c r="B90" s="65"/>
    </row>
    <row r="91" spans="2:2">
      <c r="B91" s="65"/>
    </row>
    <row r="92" spans="2:2">
      <c r="B92" s="65"/>
    </row>
    <row r="119" spans="7:7">
      <c r="G119" s="49"/>
    </row>
    <row r="120" spans="7:7">
      <c r="G120" s="49"/>
    </row>
    <row r="121" spans="7:7">
      <c r="G121" s="49"/>
    </row>
    <row r="122" spans="7:7">
      <c r="G122" s="49"/>
    </row>
    <row r="123" spans="7:7">
      <c r="G123" s="49"/>
    </row>
    <row r="125" spans="7:7">
      <c r="G125" s="68" t="s">
        <v>177</v>
      </c>
    </row>
    <row r="126" spans="7:7">
      <c r="G126" s="68" t="s">
        <v>177</v>
      </c>
    </row>
    <row r="127" spans="7:7">
      <c r="G127" s="68" t="s">
        <v>177</v>
      </c>
    </row>
    <row r="128" spans="7:7">
      <c r="G128" s="68" t="s">
        <v>177</v>
      </c>
    </row>
    <row r="129" spans="7:7">
      <c r="G129" s="68" t="s">
        <v>177</v>
      </c>
    </row>
    <row r="130" spans="7:7">
      <c r="G130" s="68" t="s">
        <v>177</v>
      </c>
    </row>
    <row r="131" spans="7:7">
      <c r="G131" s="68" t="s">
        <v>177</v>
      </c>
    </row>
    <row r="132" spans="7:7">
      <c r="G132" s="68" t="s">
        <v>177</v>
      </c>
    </row>
    <row r="133" spans="7:7">
      <c r="G133" s="68" t="s">
        <v>177</v>
      </c>
    </row>
    <row r="134" spans="7:7">
      <c r="G134" s="68" t="s">
        <v>177</v>
      </c>
    </row>
    <row r="135" spans="7:7">
      <c r="G135" s="68" t="s">
        <v>177</v>
      </c>
    </row>
    <row r="136" spans="7:7">
      <c r="G136" s="68" t="s">
        <v>177</v>
      </c>
    </row>
    <row r="137" spans="7:7">
      <c r="G137" s="68" t="s">
        <v>177</v>
      </c>
    </row>
    <row r="138" spans="7:7">
      <c r="G138" s="68" t="s">
        <v>177</v>
      </c>
    </row>
    <row r="139" spans="7:7">
      <c r="G139" s="68" t="s">
        <v>177</v>
      </c>
    </row>
    <row r="140" spans="7:7">
      <c r="G140" s="68" t="s">
        <v>177</v>
      </c>
    </row>
    <row r="141" spans="7:7">
      <c r="G141" s="68" t="s">
        <v>177</v>
      </c>
    </row>
    <row r="142" spans="7:7">
      <c r="G142" s="68" t="s">
        <v>177</v>
      </c>
    </row>
    <row r="143" spans="7:7">
      <c r="G143" s="68" t="s">
        <v>177</v>
      </c>
    </row>
    <row r="144" spans="7:7">
      <c r="G144" s="68" t="s">
        <v>177</v>
      </c>
    </row>
    <row r="145" spans="7:7">
      <c r="G145" s="68" t="s">
        <v>177</v>
      </c>
    </row>
    <row r="146" spans="7:7">
      <c r="G146" s="68" t="s">
        <v>177</v>
      </c>
    </row>
    <row r="147" spans="7:7">
      <c r="G147" s="68" t="s">
        <v>177</v>
      </c>
    </row>
    <row r="148" spans="7:7">
      <c r="G148" s="68" t="s">
        <v>177</v>
      </c>
    </row>
    <row r="149" spans="7:7">
      <c r="G149" s="68" t="s">
        <v>177</v>
      </c>
    </row>
    <row r="150" spans="7:7">
      <c r="G150" s="68" t="s">
        <v>177</v>
      </c>
    </row>
    <row r="151" spans="7:7">
      <c r="G151" s="68" t="s">
        <v>177</v>
      </c>
    </row>
    <row r="152" spans="7:7">
      <c r="G152" s="68" t="s">
        <v>177</v>
      </c>
    </row>
    <row r="153" spans="7:7">
      <c r="G153" s="68" t="s">
        <v>177</v>
      </c>
    </row>
    <row r="154" spans="7:7">
      <c r="G154" s="68" t="s">
        <v>177</v>
      </c>
    </row>
    <row r="155" spans="7:7">
      <c r="G155" s="68" t="s">
        <v>177</v>
      </c>
    </row>
    <row r="156" spans="7:7">
      <c r="G156" s="68" t="s">
        <v>177</v>
      </c>
    </row>
    <row r="157" spans="7:7">
      <c r="G157" s="68" t="s">
        <v>177</v>
      </c>
    </row>
    <row r="158" spans="7:7">
      <c r="G158" s="68" t="s">
        <v>177</v>
      </c>
    </row>
    <row r="159" spans="7:7">
      <c r="G159" s="68" t="s">
        <v>177</v>
      </c>
    </row>
    <row r="160" spans="7:7">
      <c r="G160" s="68" t="s">
        <v>177</v>
      </c>
    </row>
    <row r="161" spans="7:7">
      <c r="G161" s="68" t="s">
        <v>177</v>
      </c>
    </row>
    <row r="162" spans="7:7">
      <c r="G162" s="68" t="s">
        <v>177</v>
      </c>
    </row>
    <row r="163" spans="7:7">
      <c r="G163" s="68" t="s">
        <v>177</v>
      </c>
    </row>
    <row r="164" spans="7:7">
      <c r="G164" s="68" t="s">
        <v>177</v>
      </c>
    </row>
    <row r="165" spans="7:7">
      <c r="G165" s="68" t="s">
        <v>177</v>
      </c>
    </row>
    <row r="166" spans="7:7">
      <c r="G166" s="68" t="s">
        <v>177</v>
      </c>
    </row>
    <row r="167" spans="7:7">
      <c r="G167" s="68" t="s">
        <v>177</v>
      </c>
    </row>
    <row r="168" spans="7:7">
      <c r="G168" s="68" t="s">
        <v>177</v>
      </c>
    </row>
    <row r="169" spans="7:7">
      <c r="G169" s="68" t="s">
        <v>177</v>
      </c>
    </row>
    <row r="170" spans="7:7">
      <c r="G170" s="68" t="s">
        <v>177</v>
      </c>
    </row>
    <row r="171" spans="7:7">
      <c r="G171" s="68" t="s">
        <v>177</v>
      </c>
    </row>
    <row r="172" spans="7:7">
      <c r="G172" s="68" t="s">
        <v>177</v>
      </c>
    </row>
    <row r="173" spans="7:7">
      <c r="G173" s="68" t="s">
        <v>177</v>
      </c>
    </row>
    <row r="174" spans="7:7">
      <c r="G174" s="68" t="s">
        <v>177</v>
      </c>
    </row>
    <row r="175" spans="7:7">
      <c r="G175" s="68" t="s">
        <v>177</v>
      </c>
    </row>
    <row r="176" spans="7:7">
      <c r="G176" s="68" t="s">
        <v>177</v>
      </c>
    </row>
    <row r="177" spans="7:7">
      <c r="G177" s="68" t="s">
        <v>177</v>
      </c>
    </row>
    <row r="178" spans="7:7">
      <c r="G178" s="68" t="s">
        <v>177</v>
      </c>
    </row>
    <row r="179" spans="7:7">
      <c r="G179" s="68" t="s">
        <v>177</v>
      </c>
    </row>
    <row r="180" spans="7:7">
      <c r="G180" s="68" t="s">
        <v>177</v>
      </c>
    </row>
    <row r="181" spans="7:7">
      <c r="G181" s="68" t="s">
        <v>177</v>
      </c>
    </row>
    <row r="182" spans="7:7">
      <c r="G182" s="68" t="s">
        <v>177</v>
      </c>
    </row>
    <row r="183" spans="7:7">
      <c r="G183" s="68" t="s">
        <v>177</v>
      </c>
    </row>
    <row r="184" spans="7:7">
      <c r="G184" s="68" t="s">
        <v>177</v>
      </c>
    </row>
    <row r="185" spans="7:7">
      <c r="G185" s="68" t="s">
        <v>177</v>
      </c>
    </row>
    <row r="186" spans="7:7">
      <c r="G186" s="68" t="s">
        <v>177</v>
      </c>
    </row>
    <row r="187" spans="7:7">
      <c r="G187" s="68" t="s">
        <v>177</v>
      </c>
    </row>
    <row r="188" spans="7:7">
      <c r="G188" s="68" t="s">
        <v>177</v>
      </c>
    </row>
    <row r="189" spans="7:7">
      <c r="G189" s="68" t="s">
        <v>177</v>
      </c>
    </row>
    <row r="190" spans="7:7">
      <c r="G190" s="68" t="s">
        <v>177</v>
      </c>
    </row>
    <row r="191" spans="7:7">
      <c r="G191" s="68" t="s">
        <v>177</v>
      </c>
    </row>
    <row r="192" spans="7:7">
      <c r="G192" s="68" t="s">
        <v>177</v>
      </c>
    </row>
    <row r="193" spans="7:7">
      <c r="G193" s="68" t="s">
        <v>177</v>
      </c>
    </row>
    <row r="194" spans="7:7">
      <c r="G194" s="68" t="s">
        <v>177</v>
      </c>
    </row>
    <row r="195" spans="7:7">
      <c r="G195" s="68" t="s">
        <v>177</v>
      </c>
    </row>
    <row r="196" spans="7:7">
      <c r="G196" s="68" t="s">
        <v>177</v>
      </c>
    </row>
    <row r="197" spans="7:7">
      <c r="G197" s="68" t="s">
        <v>177</v>
      </c>
    </row>
    <row r="198" spans="7:7">
      <c r="G198" s="68" t="s">
        <v>177</v>
      </c>
    </row>
    <row r="199" spans="7:7">
      <c r="G199" s="68" t="s">
        <v>177</v>
      </c>
    </row>
    <row r="200" spans="7:7">
      <c r="G200" s="68" t="s">
        <v>177</v>
      </c>
    </row>
    <row r="201" spans="7:7">
      <c r="G201" s="68" t="s">
        <v>177</v>
      </c>
    </row>
    <row r="202" spans="7:7">
      <c r="G202" s="68" t="s">
        <v>177</v>
      </c>
    </row>
    <row r="203" spans="7:7">
      <c r="G203" s="68" t="s">
        <v>177</v>
      </c>
    </row>
    <row r="204" spans="7:7">
      <c r="G204" s="68" t="s">
        <v>177</v>
      </c>
    </row>
    <row r="205" spans="7:7">
      <c r="G205" s="68" t="s">
        <v>177</v>
      </c>
    </row>
    <row r="206" spans="7:7">
      <c r="G206" s="68" t="s">
        <v>177</v>
      </c>
    </row>
    <row r="207" spans="7:7">
      <c r="G207" s="68" t="s">
        <v>177</v>
      </c>
    </row>
    <row r="208" spans="7:7">
      <c r="G208" s="68" t="s">
        <v>177</v>
      </c>
    </row>
    <row r="209" spans="7:7">
      <c r="G209" s="68" t="s">
        <v>177</v>
      </c>
    </row>
    <row r="210" spans="7:7">
      <c r="G210" s="68" t="s">
        <v>177</v>
      </c>
    </row>
    <row r="211" spans="7:7">
      <c r="G211" s="68" t="s">
        <v>177</v>
      </c>
    </row>
    <row r="212" spans="7:7">
      <c r="G212" s="68" t="s">
        <v>177</v>
      </c>
    </row>
    <row r="213" spans="7:7">
      <c r="G213" s="68" t="s">
        <v>177</v>
      </c>
    </row>
    <row r="214" spans="7:7">
      <c r="G214" s="68" t="s">
        <v>177</v>
      </c>
    </row>
    <row r="215" spans="7:7">
      <c r="G215" s="68" t="s">
        <v>177</v>
      </c>
    </row>
    <row r="216" spans="7:7">
      <c r="G216" s="68" t="s">
        <v>177</v>
      </c>
    </row>
    <row r="217" spans="7:7">
      <c r="G217" s="68" t="s">
        <v>177</v>
      </c>
    </row>
    <row r="218" spans="7:7">
      <c r="G218" s="68" t="s">
        <v>177</v>
      </c>
    </row>
    <row r="219" spans="7:7">
      <c r="G219" s="68" t="s">
        <v>177</v>
      </c>
    </row>
    <row r="220" spans="7:7">
      <c r="G220" s="68" t="s">
        <v>177</v>
      </c>
    </row>
    <row r="221" spans="7:7">
      <c r="G221" s="68" t="s">
        <v>177</v>
      </c>
    </row>
    <row r="222" spans="7:7">
      <c r="G222" s="68" t="s">
        <v>177</v>
      </c>
    </row>
    <row r="223" spans="7:7">
      <c r="G223" s="68" t="s">
        <v>177</v>
      </c>
    </row>
    <row r="224" spans="7:7">
      <c r="G224" s="68" t="s">
        <v>177</v>
      </c>
    </row>
    <row r="225" spans="7:7">
      <c r="G225" s="68" t="s">
        <v>177</v>
      </c>
    </row>
    <row r="226" spans="7:7">
      <c r="G226" s="68" t="s">
        <v>177</v>
      </c>
    </row>
    <row r="227" spans="7:7">
      <c r="G227" s="68" t="s">
        <v>177</v>
      </c>
    </row>
    <row r="228" spans="7:7">
      <c r="G228" s="68" t="s">
        <v>177</v>
      </c>
    </row>
    <row r="229" spans="7:7">
      <c r="G229" s="68" t="s">
        <v>177</v>
      </c>
    </row>
    <row r="230" spans="7:7">
      <c r="G230" s="68" t="s">
        <v>177</v>
      </c>
    </row>
    <row r="231" spans="7:7">
      <c r="G231" s="68" t="s">
        <v>177</v>
      </c>
    </row>
    <row r="232" spans="7:7">
      <c r="G232" s="68" t="s">
        <v>177</v>
      </c>
    </row>
    <row r="233" spans="7:7">
      <c r="G233" s="68" t="s">
        <v>177</v>
      </c>
    </row>
    <row r="234" spans="7:7">
      <c r="G234" s="68" t="s">
        <v>177</v>
      </c>
    </row>
    <row r="235" spans="7:7">
      <c r="G235" s="68" t="s">
        <v>177</v>
      </c>
    </row>
    <row r="236" spans="7:7">
      <c r="G236" s="68" t="s">
        <v>177</v>
      </c>
    </row>
    <row r="237" spans="7:7">
      <c r="G237" s="68" t="s">
        <v>177</v>
      </c>
    </row>
    <row r="238" spans="7:7">
      <c r="G238" s="68" t="s">
        <v>177</v>
      </c>
    </row>
    <row r="239" spans="7:7">
      <c r="G239" s="68" t="s">
        <v>177</v>
      </c>
    </row>
    <row r="240" spans="7:7">
      <c r="G240" s="68" t="s">
        <v>177</v>
      </c>
    </row>
    <row r="241" spans="7:7">
      <c r="G241" s="68" t="s">
        <v>177</v>
      </c>
    </row>
    <row r="242" spans="7:7">
      <c r="G242" s="68" t="s">
        <v>177</v>
      </c>
    </row>
    <row r="243" spans="7:7">
      <c r="G243" s="68" t="s">
        <v>177</v>
      </c>
    </row>
    <row r="244" spans="7:7">
      <c r="G244" s="68" t="s">
        <v>177</v>
      </c>
    </row>
    <row r="245" spans="7:7">
      <c r="G245" s="68" t="s">
        <v>177</v>
      </c>
    </row>
    <row r="246" spans="7:7">
      <c r="G246" s="68" t="s">
        <v>177</v>
      </c>
    </row>
    <row r="247" spans="7:7">
      <c r="G247" s="68" t="s">
        <v>177</v>
      </c>
    </row>
    <row r="248" spans="7:7">
      <c r="G248" s="68" t="s">
        <v>177</v>
      </c>
    </row>
    <row r="249" spans="7:7">
      <c r="G249" s="68" t="s">
        <v>177</v>
      </c>
    </row>
    <row r="250" spans="7:7">
      <c r="G250" s="68" t="s">
        <v>177</v>
      </c>
    </row>
    <row r="251" spans="7:7">
      <c r="G251" s="68" t="s">
        <v>177</v>
      </c>
    </row>
    <row r="252" spans="7:7">
      <c r="G252" s="68" t="s">
        <v>177</v>
      </c>
    </row>
    <row r="253" spans="7:7">
      <c r="G253" s="68" t="s">
        <v>177</v>
      </c>
    </row>
    <row r="254" spans="7:7">
      <c r="G254" s="68" t="s">
        <v>177</v>
      </c>
    </row>
    <row r="255" spans="7:7">
      <c r="G255" s="68" t="s">
        <v>177</v>
      </c>
    </row>
    <row r="256" spans="7:7">
      <c r="G256" s="68" t="s">
        <v>177</v>
      </c>
    </row>
    <row r="257" spans="7:7">
      <c r="G257" s="68" t="s">
        <v>177</v>
      </c>
    </row>
    <row r="258" spans="7:7">
      <c r="G258" s="68" t="s">
        <v>177</v>
      </c>
    </row>
    <row r="259" spans="7:7">
      <c r="G259" s="68" t="s">
        <v>177</v>
      </c>
    </row>
    <row r="260" spans="7:7">
      <c r="G260" s="68" t="s">
        <v>177</v>
      </c>
    </row>
    <row r="261" spans="7:7">
      <c r="G261" s="68" t="s">
        <v>177</v>
      </c>
    </row>
    <row r="262" spans="7:7">
      <c r="G262" s="68" t="s">
        <v>177</v>
      </c>
    </row>
    <row r="263" spans="7:7">
      <c r="G263" s="68" t="s">
        <v>177</v>
      </c>
    </row>
    <row r="264" spans="7:7">
      <c r="G264" s="68" t="s">
        <v>177</v>
      </c>
    </row>
    <row r="265" spans="7:7">
      <c r="G265" s="68" t="s">
        <v>177</v>
      </c>
    </row>
    <row r="266" spans="7:7">
      <c r="G266" s="68" t="s">
        <v>177</v>
      </c>
    </row>
    <row r="267" spans="7:7">
      <c r="G267" s="68" t="s">
        <v>177</v>
      </c>
    </row>
    <row r="268" spans="7:7">
      <c r="G268" s="68" t="s">
        <v>177</v>
      </c>
    </row>
    <row r="269" spans="7:7">
      <c r="G269" s="68" t="s">
        <v>177</v>
      </c>
    </row>
    <row r="270" spans="7:7">
      <c r="G270" s="68" t="s">
        <v>177</v>
      </c>
    </row>
    <row r="271" spans="7:7">
      <c r="G271" s="68" t="s">
        <v>177</v>
      </c>
    </row>
    <row r="272" spans="7:7">
      <c r="G272" s="68" t="s">
        <v>177</v>
      </c>
    </row>
    <row r="273" spans="7:7">
      <c r="G273" s="68" t="s">
        <v>177</v>
      </c>
    </row>
    <row r="274" spans="7:7">
      <c r="G274" s="68" t="s">
        <v>177</v>
      </c>
    </row>
    <row r="275" spans="7:7">
      <c r="G275" s="68" t="s">
        <v>177</v>
      </c>
    </row>
    <row r="276" spans="7:7">
      <c r="G276" s="68" t="s">
        <v>177</v>
      </c>
    </row>
    <row r="277" spans="7:7">
      <c r="G277" s="68" t="s">
        <v>177</v>
      </c>
    </row>
    <row r="278" spans="7:7">
      <c r="G278" s="68" t="s">
        <v>177</v>
      </c>
    </row>
    <row r="279" spans="7:7">
      <c r="G279" s="68" t="s">
        <v>177</v>
      </c>
    </row>
    <row r="280" spans="7:7">
      <c r="G280" s="68" t="s">
        <v>177</v>
      </c>
    </row>
    <row r="281" spans="7:7">
      <c r="G281" s="68" t="s">
        <v>177</v>
      </c>
    </row>
    <row r="282" spans="7:7">
      <c r="G282" s="68" t="s">
        <v>177</v>
      </c>
    </row>
    <row r="283" spans="7:7">
      <c r="G283" s="68" t="s">
        <v>177</v>
      </c>
    </row>
    <row r="284" spans="7:7">
      <c r="G284" s="68" t="s">
        <v>177</v>
      </c>
    </row>
    <row r="285" spans="7:7">
      <c r="G285" s="68" t="s">
        <v>177</v>
      </c>
    </row>
    <row r="286" spans="7:7">
      <c r="G286" s="68" t="s">
        <v>177</v>
      </c>
    </row>
    <row r="287" spans="7:7">
      <c r="G287" s="68" t="s">
        <v>177</v>
      </c>
    </row>
    <row r="288" spans="7:7">
      <c r="G288" s="68" t="s">
        <v>177</v>
      </c>
    </row>
    <row r="289" spans="7:7">
      <c r="G289" s="68" t="s">
        <v>177</v>
      </c>
    </row>
    <row r="290" spans="7:7">
      <c r="G290" s="68" t="s">
        <v>177</v>
      </c>
    </row>
    <row r="291" spans="7:7">
      <c r="G291" s="68" t="s">
        <v>177</v>
      </c>
    </row>
    <row r="292" spans="7:7">
      <c r="G292" s="68" t="s">
        <v>177</v>
      </c>
    </row>
    <row r="293" spans="7:7">
      <c r="G293" s="68" t="s">
        <v>177</v>
      </c>
    </row>
    <row r="294" spans="7:7">
      <c r="G294" s="68" t="s">
        <v>177</v>
      </c>
    </row>
    <row r="295" spans="7:7">
      <c r="G295" s="68" t="s">
        <v>177</v>
      </c>
    </row>
    <row r="296" spans="7:7">
      <c r="G296" s="68" t="s">
        <v>177</v>
      </c>
    </row>
    <row r="297" spans="7:7">
      <c r="G297" s="68" t="s">
        <v>177</v>
      </c>
    </row>
    <row r="298" spans="7:7">
      <c r="G298" s="68" t="s">
        <v>177</v>
      </c>
    </row>
    <row r="299" spans="7:7">
      <c r="G299" s="68" t="s">
        <v>177</v>
      </c>
    </row>
    <row r="300" spans="7:7">
      <c r="G300" s="68" t="s">
        <v>177</v>
      </c>
    </row>
    <row r="301" spans="7:7">
      <c r="G301" s="68" t="s">
        <v>177</v>
      </c>
    </row>
    <row r="302" spans="7:7">
      <c r="G302" s="68" t="s">
        <v>177</v>
      </c>
    </row>
    <row r="303" spans="7:7">
      <c r="G303" s="68" t="s">
        <v>177</v>
      </c>
    </row>
    <row r="304" spans="7:7">
      <c r="G304" s="68" t="s">
        <v>177</v>
      </c>
    </row>
    <row r="305" spans="7:7">
      <c r="G305" s="68" t="s">
        <v>177</v>
      </c>
    </row>
    <row r="306" spans="7:7">
      <c r="G306" s="68" t="s">
        <v>177</v>
      </c>
    </row>
    <row r="307" spans="7:7">
      <c r="G307" s="68" t="s">
        <v>177</v>
      </c>
    </row>
    <row r="308" spans="7:7">
      <c r="G308" s="68" t="s">
        <v>177</v>
      </c>
    </row>
    <row r="309" spans="7:7">
      <c r="G309" s="68" t="s">
        <v>177</v>
      </c>
    </row>
    <row r="310" spans="7:7">
      <c r="G310" s="68" t="s">
        <v>177</v>
      </c>
    </row>
    <row r="311" spans="7:7">
      <c r="G311" s="68" t="s">
        <v>177</v>
      </c>
    </row>
    <row r="312" spans="7:7">
      <c r="G312" s="68" t="s">
        <v>177</v>
      </c>
    </row>
    <row r="313" spans="7:7">
      <c r="G313" s="68" t="s">
        <v>177</v>
      </c>
    </row>
    <row r="314" spans="7:7">
      <c r="G314" s="68" t="s">
        <v>177</v>
      </c>
    </row>
    <row r="315" spans="7:7">
      <c r="G315" s="68" t="s">
        <v>177</v>
      </c>
    </row>
    <row r="316" spans="7:7">
      <c r="G316" s="68" t="s">
        <v>177</v>
      </c>
    </row>
    <row r="317" spans="7:7">
      <c r="G317" s="68" t="s">
        <v>177</v>
      </c>
    </row>
    <row r="318" spans="7:7">
      <c r="G318" s="68" t="s">
        <v>177</v>
      </c>
    </row>
    <row r="319" spans="7:7">
      <c r="G319" s="68" t="s">
        <v>177</v>
      </c>
    </row>
    <row r="320" spans="7:7">
      <c r="G320" s="68" t="s">
        <v>177</v>
      </c>
    </row>
    <row r="321" spans="7:7">
      <c r="G321" s="68" t="s">
        <v>177</v>
      </c>
    </row>
    <row r="322" spans="7:7">
      <c r="G322" s="68" t="s">
        <v>177</v>
      </c>
    </row>
    <row r="323" spans="7:7">
      <c r="G323" s="68" t="s">
        <v>177</v>
      </c>
    </row>
    <row r="324" spans="7:7">
      <c r="G324" s="68" t="s">
        <v>177</v>
      </c>
    </row>
    <row r="325" spans="7:7">
      <c r="G325" s="68" t="s">
        <v>177</v>
      </c>
    </row>
    <row r="326" spans="7:7">
      <c r="G326" s="68" t="s">
        <v>177</v>
      </c>
    </row>
    <row r="327" spans="7:7">
      <c r="G327" s="68" t="s">
        <v>177</v>
      </c>
    </row>
    <row r="328" spans="7:7">
      <c r="G328" s="68" t="s">
        <v>177</v>
      </c>
    </row>
    <row r="329" spans="7:7">
      <c r="G329" s="68" t="s">
        <v>177</v>
      </c>
    </row>
    <row r="330" spans="7:7">
      <c r="G330" s="68" t="s">
        <v>177</v>
      </c>
    </row>
    <row r="331" spans="7:7">
      <c r="G331" s="68" t="s">
        <v>177</v>
      </c>
    </row>
    <row r="332" spans="7:7">
      <c r="G332" s="68" t="s">
        <v>177</v>
      </c>
    </row>
    <row r="333" spans="7:7">
      <c r="G333" s="68" t="s">
        <v>177</v>
      </c>
    </row>
    <row r="334" spans="7:7">
      <c r="G334" s="68" t="s">
        <v>177</v>
      </c>
    </row>
    <row r="335" spans="7:7">
      <c r="G335" s="68" t="s">
        <v>177</v>
      </c>
    </row>
    <row r="336" spans="7:7">
      <c r="G336" s="68" t="s">
        <v>177</v>
      </c>
    </row>
    <row r="337" spans="7:7">
      <c r="G337" s="68" t="s">
        <v>177</v>
      </c>
    </row>
    <row r="338" spans="7:7">
      <c r="G338" s="68" t="s">
        <v>177</v>
      </c>
    </row>
    <row r="339" spans="7:7">
      <c r="G339" s="68" t="s">
        <v>177</v>
      </c>
    </row>
    <row r="340" spans="7:7">
      <c r="G340" s="68" t="s">
        <v>177</v>
      </c>
    </row>
    <row r="341" spans="7:7">
      <c r="G341" s="68" t="s">
        <v>177</v>
      </c>
    </row>
    <row r="342" spans="7:7">
      <c r="G342" s="68" t="s">
        <v>177</v>
      </c>
    </row>
    <row r="343" spans="7:7">
      <c r="G343" s="68" t="s">
        <v>177</v>
      </c>
    </row>
    <row r="344" spans="7:7">
      <c r="G344" s="68" t="s">
        <v>177</v>
      </c>
    </row>
    <row r="345" spans="7:7">
      <c r="G345" s="68" t="s">
        <v>177</v>
      </c>
    </row>
    <row r="346" spans="7:7">
      <c r="G346" s="68" t="s">
        <v>177</v>
      </c>
    </row>
    <row r="347" spans="7:7">
      <c r="G347" s="68" t="s">
        <v>177</v>
      </c>
    </row>
    <row r="348" spans="7:7">
      <c r="G348" s="68" t="s">
        <v>177</v>
      </c>
    </row>
    <row r="349" spans="7:7">
      <c r="G349" s="68" t="s">
        <v>177</v>
      </c>
    </row>
    <row r="350" spans="7:7">
      <c r="G350" s="68" t="s">
        <v>177</v>
      </c>
    </row>
    <row r="351" spans="7:7">
      <c r="G351" s="68" t="s">
        <v>177</v>
      </c>
    </row>
    <row r="352" spans="7:7">
      <c r="G352" s="68" t="s">
        <v>177</v>
      </c>
    </row>
    <row r="353" spans="7:7">
      <c r="G353" s="68" t="s">
        <v>177</v>
      </c>
    </row>
    <row r="354" spans="7:7">
      <c r="G354" s="68" t="s">
        <v>177</v>
      </c>
    </row>
    <row r="355" spans="7:7">
      <c r="G355" s="68" t="s">
        <v>177</v>
      </c>
    </row>
    <row r="356" spans="7:7">
      <c r="G356" s="68" t="s">
        <v>177</v>
      </c>
    </row>
    <row r="357" spans="7:7">
      <c r="G357" s="68" t="s">
        <v>177</v>
      </c>
    </row>
    <row r="358" spans="7:7">
      <c r="G358" s="68" t="s">
        <v>177</v>
      </c>
    </row>
    <row r="359" spans="7:7">
      <c r="G359" s="68" t="s">
        <v>177</v>
      </c>
    </row>
    <row r="360" spans="7:7">
      <c r="G360" s="68" t="s">
        <v>177</v>
      </c>
    </row>
    <row r="361" spans="7:7">
      <c r="G361" s="68" t="s">
        <v>177</v>
      </c>
    </row>
    <row r="362" spans="7:7">
      <c r="G362" s="68" t="s">
        <v>177</v>
      </c>
    </row>
    <row r="363" spans="7:7">
      <c r="G363" s="68" t="s">
        <v>177</v>
      </c>
    </row>
    <row r="364" spans="7:7">
      <c r="G364" s="68" t="s">
        <v>177</v>
      </c>
    </row>
    <row r="365" spans="7:7">
      <c r="G365" s="68" t="s">
        <v>177</v>
      </c>
    </row>
    <row r="366" spans="7:7">
      <c r="G366" s="68" t="s">
        <v>177</v>
      </c>
    </row>
    <row r="367" spans="7:7">
      <c r="G367" s="68" t="s">
        <v>177</v>
      </c>
    </row>
    <row r="368" spans="7:7">
      <c r="G368" s="68" t="s">
        <v>177</v>
      </c>
    </row>
    <row r="369" spans="7:7">
      <c r="G369" s="68" t="s">
        <v>177</v>
      </c>
    </row>
    <row r="370" spans="7:7">
      <c r="G370" s="68" t="s">
        <v>177</v>
      </c>
    </row>
    <row r="371" spans="7:7">
      <c r="G371" s="68" t="s">
        <v>177</v>
      </c>
    </row>
    <row r="372" spans="7:7">
      <c r="G372" s="68" t="s">
        <v>177</v>
      </c>
    </row>
    <row r="373" spans="7:7">
      <c r="G373" s="68" t="s">
        <v>177</v>
      </c>
    </row>
    <row r="374" spans="7:7">
      <c r="G374" s="68" t="s">
        <v>177</v>
      </c>
    </row>
    <row r="375" spans="7:7">
      <c r="G375" s="68" t="s">
        <v>177</v>
      </c>
    </row>
    <row r="376" spans="7:7">
      <c r="G376" s="68" t="s">
        <v>177</v>
      </c>
    </row>
    <row r="377" spans="7:7">
      <c r="G377" s="68" t="s">
        <v>177</v>
      </c>
    </row>
    <row r="378" spans="7:7">
      <c r="G378" s="68" t="s">
        <v>177</v>
      </c>
    </row>
    <row r="379" spans="7:7">
      <c r="G379" s="68" t="s">
        <v>177</v>
      </c>
    </row>
    <row r="380" spans="7:7">
      <c r="G380" s="68" t="s">
        <v>177</v>
      </c>
    </row>
    <row r="381" spans="7:7">
      <c r="G381" s="68" t="s">
        <v>177</v>
      </c>
    </row>
    <row r="382" spans="7:7">
      <c r="G382" s="68" t="s">
        <v>177</v>
      </c>
    </row>
    <row r="383" spans="7:7">
      <c r="G383" s="68" t="s">
        <v>177</v>
      </c>
    </row>
    <row r="384" spans="7:7">
      <c r="G384" s="68" t="s">
        <v>177</v>
      </c>
    </row>
    <row r="385" spans="7:7">
      <c r="G385" s="68" t="s">
        <v>177</v>
      </c>
    </row>
    <row r="386" spans="7:7">
      <c r="G386" s="68" t="s">
        <v>177</v>
      </c>
    </row>
    <row r="387" spans="7:7">
      <c r="G387" s="68" t="s">
        <v>177</v>
      </c>
    </row>
    <row r="388" spans="7:7">
      <c r="G388" s="68" t="s">
        <v>177</v>
      </c>
    </row>
    <row r="389" spans="7:7">
      <c r="G389" s="68" t="s">
        <v>177</v>
      </c>
    </row>
    <row r="390" spans="7:7">
      <c r="G390" s="68" t="s">
        <v>177</v>
      </c>
    </row>
    <row r="391" spans="7:7">
      <c r="G391" s="68" t="s">
        <v>177</v>
      </c>
    </row>
    <row r="392" spans="7:7">
      <c r="G392" s="68" t="s">
        <v>177</v>
      </c>
    </row>
    <row r="393" spans="7:7">
      <c r="G393" s="68" t="s">
        <v>177</v>
      </c>
    </row>
    <row r="394" spans="7:7">
      <c r="G394" s="68" t="s">
        <v>177</v>
      </c>
    </row>
    <row r="395" spans="7:7">
      <c r="G395" s="68" t="s">
        <v>177</v>
      </c>
    </row>
    <row r="396" spans="7:7">
      <c r="G396" s="68" t="s">
        <v>177</v>
      </c>
    </row>
    <row r="397" spans="7:7">
      <c r="G397" s="68" t="s">
        <v>177</v>
      </c>
    </row>
    <row r="398" spans="7:7">
      <c r="G398" s="68" t="s">
        <v>177</v>
      </c>
    </row>
    <row r="399" spans="7:7">
      <c r="G399" s="68" t="s">
        <v>177</v>
      </c>
    </row>
    <row r="400" spans="7:7">
      <c r="G400" s="68" t="s">
        <v>177</v>
      </c>
    </row>
    <row r="401" spans="7:7">
      <c r="G401" s="68" t="s">
        <v>177</v>
      </c>
    </row>
    <row r="402" spans="7:7">
      <c r="G402" s="68" t="s">
        <v>177</v>
      </c>
    </row>
    <row r="403" spans="7:7">
      <c r="G403" s="68" t="s">
        <v>177</v>
      </c>
    </row>
    <row r="404" spans="7:7">
      <c r="G404" s="68" t="s">
        <v>177</v>
      </c>
    </row>
    <row r="405" spans="7:7">
      <c r="G405" s="68" t="s">
        <v>177</v>
      </c>
    </row>
    <row r="406" spans="7:7">
      <c r="G406" s="68" t="s">
        <v>177</v>
      </c>
    </row>
    <row r="407" spans="7:7">
      <c r="G407" s="68" t="s">
        <v>177</v>
      </c>
    </row>
    <row r="408" spans="7:7">
      <c r="G408" s="68" t="s">
        <v>177</v>
      </c>
    </row>
    <row r="409" spans="7:7">
      <c r="G409" s="68" t="s">
        <v>177</v>
      </c>
    </row>
    <row r="410" spans="7:7">
      <c r="G410" s="68" t="s">
        <v>177</v>
      </c>
    </row>
    <row r="411" spans="7:7">
      <c r="G411" s="68" t="s">
        <v>177</v>
      </c>
    </row>
    <row r="412" spans="7:7">
      <c r="G412" s="68" t="s">
        <v>177</v>
      </c>
    </row>
    <row r="413" spans="7:7">
      <c r="G413" s="68" t="s">
        <v>177</v>
      </c>
    </row>
    <row r="414" spans="7:7">
      <c r="G414" s="68" t="s">
        <v>177</v>
      </c>
    </row>
    <row r="415" spans="7:7">
      <c r="G415" s="68" t="s">
        <v>177</v>
      </c>
    </row>
    <row r="416" spans="7:7">
      <c r="G416" s="68" t="s">
        <v>177</v>
      </c>
    </row>
    <row r="417" spans="7:7">
      <c r="G417" s="68" t="s">
        <v>177</v>
      </c>
    </row>
    <row r="418" spans="7:7">
      <c r="G418" s="68" t="s">
        <v>177</v>
      </c>
    </row>
    <row r="419" spans="7:7">
      <c r="G419" s="68" t="s">
        <v>177</v>
      </c>
    </row>
    <row r="420" spans="7:7">
      <c r="G420" s="68" t="s">
        <v>177</v>
      </c>
    </row>
    <row r="421" spans="7:7">
      <c r="G421" s="68" t="s">
        <v>177</v>
      </c>
    </row>
    <row r="422" spans="7:7">
      <c r="G422" s="68" t="s">
        <v>177</v>
      </c>
    </row>
    <row r="423" spans="7:7">
      <c r="G423" s="68" t="s">
        <v>177</v>
      </c>
    </row>
    <row r="424" spans="7:7">
      <c r="G424" s="68" t="s">
        <v>177</v>
      </c>
    </row>
    <row r="425" spans="7:7">
      <c r="G425" s="68" t="s">
        <v>177</v>
      </c>
    </row>
    <row r="426" spans="7:7">
      <c r="G426" s="68" t="s">
        <v>177</v>
      </c>
    </row>
    <row r="427" spans="7:7">
      <c r="G427" s="68" t="s">
        <v>177</v>
      </c>
    </row>
    <row r="428" spans="7:7">
      <c r="G428" s="68" t="s">
        <v>177</v>
      </c>
    </row>
    <row r="429" spans="7:7">
      <c r="G429" s="68" t="s">
        <v>177</v>
      </c>
    </row>
    <row r="430" spans="7:7">
      <c r="G430" s="68" t="s">
        <v>177</v>
      </c>
    </row>
    <row r="431" spans="7:7">
      <c r="G431" s="68" t="s">
        <v>177</v>
      </c>
    </row>
    <row r="432" spans="7:7">
      <c r="G432" s="68" t="s">
        <v>177</v>
      </c>
    </row>
    <row r="433" spans="7:7">
      <c r="G433" s="68" t="s">
        <v>177</v>
      </c>
    </row>
    <row r="434" spans="7:7">
      <c r="G434" s="68" t="s">
        <v>177</v>
      </c>
    </row>
    <row r="435" spans="7:7">
      <c r="G435" s="68" t="s">
        <v>177</v>
      </c>
    </row>
    <row r="436" spans="7:7">
      <c r="G436" s="68" t="s">
        <v>177</v>
      </c>
    </row>
    <row r="437" spans="7:7">
      <c r="G437" s="68" t="s">
        <v>177</v>
      </c>
    </row>
    <row r="438" spans="7:7">
      <c r="G438" s="68" t="s">
        <v>177</v>
      </c>
    </row>
    <row r="439" spans="7:7">
      <c r="G439" s="68" t="s">
        <v>177</v>
      </c>
    </row>
    <row r="440" spans="7:7">
      <c r="G440" s="68" t="s">
        <v>177</v>
      </c>
    </row>
    <row r="441" spans="7:7">
      <c r="G441" s="68" t="s">
        <v>177</v>
      </c>
    </row>
    <row r="442" spans="7:7">
      <c r="G442" s="68" t="s">
        <v>177</v>
      </c>
    </row>
    <row r="443" spans="7:7">
      <c r="G443" s="68" t="s">
        <v>177</v>
      </c>
    </row>
    <row r="444" spans="7:7">
      <c r="G444" s="68" t="s">
        <v>177</v>
      </c>
    </row>
    <row r="445" spans="7:7">
      <c r="G445" s="68" t="s">
        <v>177</v>
      </c>
    </row>
    <row r="446" spans="7:7">
      <c r="G446" s="68" t="s">
        <v>177</v>
      </c>
    </row>
    <row r="447" spans="7:7">
      <c r="G447" s="68" t="s">
        <v>177</v>
      </c>
    </row>
    <row r="448" spans="7:7">
      <c r="G448" s="68" t="s">
        <v>177</v>
      </c>
    </row>
    <row r="449" spans="7:7">
      <c r="G449" s="68" t="s">
        <v>177</v>
      </c>
    </row>
    <row r="450" spans="7:7">
      <c r="G450" s="68" t="s">
        <v>177</v>
      </c>
    </row>
    <row r="451" spans="7:7">
      <c r="G451" s="68" t="s">
        <v>177</v>
      </c>
    </row>
    <row r="452" spans="7:7">
      <c r="G452" s="68" t="s">
        <v>177</v>
      </c>
    </row>
    <row r="453" spans="7:7">
      <c r="G453" s="68" t="s">
        <v>177</v>
      </c>
    </row>
    <row r="454" spans="7:7">
      <c r="G454" s="68" t="s">
        <v>177</v>
      </c>
    </row>
    <row r="455" spans="7:7">
      <c r="G455" s="68" t="s">
        <v>177</v>
      </c>
    </row>
    <row r="456" spans="7:7">
      <c r="G456" s="68" t="s">
        <v>177</v>
      </c>
    </row>
    <row r="457" spans="7:7">
      <c r="G457" s="68" t="s">
        <v>177</v>
      </c>
    </row>
    <row r="458" spans="7:7">
      <c r="G458" s="68" t="s">
        <v>177</v>
      </c>
    </row>
    <row r="459" spans="7:7">
      <c r="G459" s="68" t="s">
        <v>177</v>
      </c>
    </row>
    <row r="460" spans="7:7">
      <c r="G460" s="68" t="s">
        <v>177</v>
      </c>
    </row>
    <row r="461" spans="7:7">
      <c r="G461" s="68" t="s">
        <v>177</v>
      </c>
    </row>
    <row r="462" spans="7:7">
      <c r="G462" s="68" t="s">
        <v>177</v>
      </c>
    </row>
    <row r="463" spans="7:7">
      <c r="G463" s="68" t="s">
        <v>177</v>
      </c>
    </row>
    <row r="464" spans="7:7">
      <c r="G464" s="68" t="s">
        <v>177</v>
      </c>
    </row>
    <row r="465" spans="7:7">
      <c r="G465" s="68" t="s">
        <v>177</v>
      </c>
    </row>
    <row r="466" spans="7:7">
      <c r="G466" s="68" t="s">
        <v>177</v>
      </c>
    </row>
    <row r="467" spans="7:7">
      <c r="G467" s="68" t="s">
        <v>177</v>
      </c>
    </row>
    <row r="468" spans="7:7">
      <c r="G468" s="68" t="s">
        <v>177</v>
      </c>
    </row>
    <row r="469" spans="7:7">
      <c r="G469" s="68" t="s">
        <v>177</v>
      </c>
    </row>
    <row r="470" spans="7:7">
      <c r="G470" s="68" t="s">
        <v>177</v>
      </c>
    </row>
    <row r="471" spans="7:7">
      <c r="G471" s="68" t="s">
        <v>177</v>
      </c>
    </row>
    <row r="472" spans="7:7">
      <c r="G472" s="68" t="s">
        <v>177</v>
      </c>
    </row>
    <row r="473" spans="7:7">
      <c r="G473" s="68" t="s">
        <v>177</v>
      </c>
    </row>
    <row r="474" spans="7:7">
      <c r="G474" s="68" t="s">
        <v>177</v>
      </c>
    </row>
    <row r="475" spans="7:7">
      <c r="G475" s="68" t="s">
        <v>177</v>
      </c>
    </row>
    <row r="476" spans="7:7">
      <c r="G476" s="68" t="s">
        <v>177</v>
      </c>
    </row>
    <row r="477" spans="7:7">
      <c r="G477" s="68" t="s">
        <v>177</v>
      </c>
    </row>
    <row r="478" spans="7:7">
      <c r="G478" s="68" t="s">
        <v>177</v>
      </c>
    </row>
    <row r="479" spans="7:7">
      <c r="G479" s="68" t="s">
        <v>177</v>
      </c>
    </row>
    <row r="480" spans="7:7">
      <c r="G480" s="68" t="s">
        <v>177</v>
      </c>
    </row>
    <row r="481" spans="7:7">
      <c r="G481" s="68" t="s">
        <v>177</v>
      </c>
    </row>
    <row r="482" spans="7:7">
      <c r="G482" s="68" t="s">
        <v>177</v>
      </c>
    </row>
    <row r="483" spans="7:7">
      <c r="G483" s="68" t="s">
        <v>177</v>
      </c>
    </row>
    <row r="484" spans="7:7">
      <c r="G484" s="68" t="s">
        <v>177</v>
      </c>
    </row>
    <row r="485" spans="7:7">
      <c r="G485" s="68" t="s">
        <v>177</v>
      </c>
    </row>
    <row r="486" spans="7:7">
      <c r="G486" s="68" t="s">
        <v>177</v>
      </c>
    </row>
    <row r="487" spans="7:7">
      <c r="G487" s="68" t="s">
        <v>177</v>
      </c>
    </row>
    <row r="488" spans="7:7">
      <c r="G488" s="68" t="s">
        <v>177</v>
      </c>
    </row>
    <row r="489" spans="7:7">
      <c r="G489" s="68" t="s">
        <v>177</v>
      </c>
    </row>
    <row r="490" spans="7:7">
      <c r="G490" s="68" t="s">
        <v>177</v>
      </c>
    </row>
    <row r="491" spans="7:7">
      <c r="G491" s="68" t="s">
        <v>177</v>
      </c>
    </row>
    <row r="492" spans="7:7">
      <c r="G492" s="68" t="s">
        <v>177</v>
      </c>
    </row>
    <row r="493" spans="7:7">
      <c r="G493" s="68" t="s">
        <v>177</v>
      </c>
    </row>
    <row r="494" spans="7:7">
      <c r="G494" s="68" t="s">
        <v>177</v>
      </c>
    </row>
    <row r="495" spans="7:7">
      <c r="G495" s="68" t="s">
        <v>177</v>
      </c>
    </row>
    <row r="496" spans="7:7">
      <c r="G496" s="68" t="s">
        <v>177</v>
      </c>
    </row>
    <row r="497" spans="7:7">
      <c r="G497" s="68" t="s">
        <v>177</v>
      </c>
    </row>
    <row r="498" spans="7:7">
      <c r="G498" s="68" t="s">
        <v>177</v>
      </c>
    </row>
    <row r="499" spans="7:7">
      <c r="G499" s="68" t="s">
        <v>177</v>
      </c>
    </row>
    <row r="500" spans="7:7">
      <c r="G500" s="68" t="s">
        <v>177</v>
      </c>
    </row>
    <row r="501" spans="7:7">
      <c r="G501" s="68" t="s">
        <v>177</v>
      </c>
    </row>
    <row r="502" spans="7:7">
      <c r="G502" s="68" t="s">
        <v>177</v>
      </c>
    </row>
    <row r="503" spans="7:7">
      <c r="G503" s="68" t="s">
        <v>177</v>
      </c>
    </row>
    <row r="504" spans="7:7">
      <c r="G504" s="68" t="s">
        <v>177</v>
      </c>
    </row>
    <row r="505" spans="7:7">
      <c r="G505" s="68" t="s">
        <v>177</v>
      </c>
    </row>
    <row r="506" spans="7:7">
      <c r="G506" s="68" t="s">
        <v>177</v>
      </c>
    </row>
    <row r="507" spans="7:7">
      <c r="G507" s="68" t="s">
        <v>177</v>
      </c>
    </row>
    <row r="508" spans="7:7">
      <c r="G508" s="68" t="s">
        <v>177</v>
      </c>
    </row>
    <row r="509" spans="7:7">
      <c r="G509" s="68" t="s">
        <v>177</v>
      </c>
    </row>
    <row r="510" spans="7:7">
      <c r="G510" s="68" t="s">
        <v>177</v>
      </c>
    </row>
    <row r="511" spans="7:7">
      <c r="G511" s="68" t="s">
        <v>177</v>
      </c>
    </row>
    <row r="512" spans="7:7">
      <c r="G512" s="68" t="s">
        <v>177</v>
      </c>
    </row>
    <row r="513" spans="7:7">
      <c r="G513" s="68" t="s">
        <v>177</v>
      </c>
    </row>
    <row r="514" spans="7:7">
      <c r="G514" s="68" t="s">
        <v>177</v>
      </c>
    </row>
    <row r="515" spans="7:7">
      <c r="G515" s="68" t="s">
        <v>177</v>
      </c>
    </row>
    <row r="516" spans="7:7">
      <c r="G516" s="68" t="s">
        <v>177</v>
      </c>
    </row>
    <row r="517" spans="7:7">
      <c r="G517" s="68" t="s">
        <v>177</v>
      </c>
    </row>
    <row r="518" spans="7:7">
      <c r="G518" s="68" t="s">
        <v>177</v>
      </c>
    </row>
    <row r="519" spans="7:7">
      <c r="G519" s="68" t="s">
        <v>177</v>
      </c>
    </row>
    <row r="520" spans="7:7">
      <c r="G520" s="68" t="s">
        <v>177</v>
      </c>
    </row>
    <row r="521" spans="7:7">
      <c r="G521" s="68" t="s">
        <v>177</v>
      </c>
    </row>
    <row r="522" spans="7:7">
      <c r="G522" s="68" t="s">
        <v>177</v>
      </c>
    </row>
    <row r="523" spans="7:7">
      <c r="G523" s="68" t="s">
        <v>177</v>
      </c>
    </row>
    <row r="524" spans="7:7">
      <c r="G524" s="68" t="s">
        <v>177</v>
      </c>
    </row>
    <row r="525" spans="7:7">
      <c r="G525" s="68" t="s">
        <v>177</v>
      </c>
    </row>
    <row r="526" spans="7:7">
      <c r="G526" s="68" t="s">
        <v>177</v>
      </c>
    </row>
    <row r="527" spans="7:7">
      <c r="G527" s="68" t="s">
        <v>177</v>
      </c>
    </row>
    <row r="528" spans="7:7">
      <c r="G528" s="68" t="s">
        <v>177</v>
      </c>
    </row>
    <row r="529" spans="7:7">
      <c r="G529" s="68" t="s">
        <v>177</v>
      </c>
    </row>
    <row r="530" spans="7:7">
      <c r="G530" s="68" t="s">
        <v>177</v>
      </c>
    </row>
    <row r="531" spans="7:7">
      <c r="G531" s="68" t="s">
        <v>177</v>
      </c>
    </row>
    <row r="532" spans="7:7">
      <c r="G532" s="68" t="s">
        <v>177</v>
      </c>
    </row>
    <row r="533" spans="7:7">
      <c r="G533" s="68" t="s">
        <v>177</v>
      </c>
    </row>
    <row r="534" spans="7:7">
      <c r="G534" s="68" t="s">
        <v>177</v>
      </c>
    </row>
    <row r="535" spans="7:7">
      <c r="G535" s="68" t="s">
        <v>177</v>
      </c>
    </row>
    <row r="536" spans="7:7">
      <c r="G536" s="68" t="s">
        <v>177</v>
      </c>
    </row>
    <row r="537" spans="7:7">
      <c r="G537" s="68" t="s">
        <v>177</v>
      </c>
    </row>
    <row r="538" spans="7:7">
      <c r="G538" s="68" t="s">
        <v>177</v>
      </c>
    </row>
    <row r="539" spans="7:7">
      <c r="G539" s="68" t="s">
        <v>177</v>
      </c>
    </row>
    <row r="540" spans="7:7">
      <c r="G540" s="68" t="s">
        <v>177</v>
      </c>
    </row>
    <row r="541" spans="7:7">
      <c r="G541" s="68" t="s">
        <v>177</v>
      </c>
    </row>
    <row r="542" spans="7:7">
      <c r="G542" s="68" t="s">
        <v>177</v>
      </c>
    </row>
    <row r="543" spans="7:7">
      <c r="G543" s="68" t="s">
        <v>177</v>
      </c>
    </row>
    <row r="544" spans="7:7">
      <c r="G544" s="68" t="s">
        <v>177</v>
      </c>
    </row>
    <row r="545" spans="7:7">
      <c r="G545" s="68" t="s">
        <v>177</v>
      </c>
    </row>
    <row r="546" spans="7:7">
      <c r="G546" s="68" t="s">
        <v>177</v>
      </c>
    </row>
    <row r="547" spans="7:7">
      <c r="G547" s="68" t="s">
        <v>177</v>
      </c>
    </row>
    <row r="548" spans="7:7">
      <c r="G548" s="68" t="s">
        <v>177</v>
      </c>
    </row>
    <row r="549" spans="7:7">
      <c r="G549" s="68" t="s">
        <v>177</v>
      </c>
    </row>
    <row r="550" spans="7:7">
      <c r="G550" s="68" t="s">
        <v>177</v>
      </c>
    </row>
    <row r="551" spans="7:7">
      <c r="G551" s="68" t="s">
        <v>177</v>
      </c>
    </row>
    <row r="552" spans="7:7">
      <c r="G552" s="68" t="s">
        <v>177</v>
      </c>
    </row>
    <row r="553" spans="7:7">
      <c r="G553" s="68" t="s">
        <v>177</v>
      </c>
    </row>
    <row r="554" spans="7:7">
      <c r="G554" s="68" t="s">
        <v>177</v>
      </c>
    </row>
    <row r="555" spans="7:7">
      <c r="G555" s="68" t="s">
        <v>177</v>
      </c>
    </row>
    <row r="556" spans="7:7">
      <c r="G556" s="68" t="s">
        <v>177</v>
      </c>
    </row>
    <row r="557" spans="7:7">
      <c r="G557" s="68" t="s">
        <v>177</v>
      </c>
    </row>
    <row r="558" spans="7:7">
      <c r="G558" s="68" t="s">
        <v>177</v>
      </c>
    </row>
    <row r="559" spans="7:7">
      <c r="G559" s="68" t="s">
        <v>177</v>
      </c>
    </row>
    <row r="560" spans="7:7">
      <c r="G560" s="68" t="s">
        <v>177</v>
      </c>
    </row>
    <row r="561" spans="7:7">
      <c r="G561" s="68" t="s">
        <v>177</v>
      </c>
    </row>
    <row r="562" spans="7:7">
      <c r="G562" s="68" t="s">
        <v>177</v>
      </c>
    </row>
    <row r="563" spans="7:7">
      <c r="G563" s="68" t="s">
        <v>177</v>
      </c>
    </row>
    <row r="564" spans="7:7">
      <c r="G564" s="68" t="s">
        <v>177</v>
      </c>
    </row>
    <row r="565" spans="7:7">
      <c r="G565" s="68" t="s">
        <v>177</v>
      </c>
    </row>
    <row r="566" spans="7:7">
      <c r="G566" s="68" t="s">
        <v>177</v>
      </c>
    </row>
    <row r="567" spans="7:7">
      <c r="G567" s="68" t="s">
        <v>177</v>
      </c>
    </row>
    <row r="568" spans="7:7">
      <c r="G568" s="68" t="s">
        <v>177</v>
      </c>
    </row>
    <row r="569" spans="7:7">
      <c r="G569" s="68" t="s">
        <v>177</v>
      </c>
    </row>
    <row r="570" spans="7:7">
      <c r="G570" s="68" t="s">
        <v>177</v>
      </c>
    </row>
    <row r="571" spans="7:7">
      <c r="G571" s="68" t="s">
        <v>177</v>
      </c>
    </row>
    <row r="572" spans="7:7">
      <c r="G572" s="68" t="s">
        <v>177</v>
      </c>
    </row>
    <row r="573" spans="7:7">
      <c r="G573" s="68" t="s">
        <v>177</v>
      </c>
    </row>
    <row r="574" spans="7:7">
      <c r="G574" s="68" t="s">
        <v>177</v>
      </c>
    </row>
    <row r="575" spans="7:7">
      <c r="G575" s="68" t="s">
        <v>177</v>
      </c>
    </row>
    <row r="576" spans="7:7">
      <c r="G576" s="68" t="s">
        <v>177</v>
      </c>
    </row>
    <row r="577" spans="7:7">
      <c r="G577" s="68" t="s">
        <v>177</v>
      </c>
    </row>
    <row r="578" spans="7:7">
      <c r="G578" s="68" t="s">
        <v>177</v>
      </c>
    </row>
    <row r="579" spans="7:7">
      <c r="G579" s="68" t="s">
        <v>177</v>
      </c>
    </row>
    <row r="580" spans="7:7">
      <c r="G580" s="68" t="s">
        <v>177</v>
      </c>
    </row>
    <row r="581" spans="7:7">
      <c r="G581" s="68" t="s">
        <v>177</v>
      </c>
    </row>
    <row r="582" spans="7:7">
      <c r="G582" s="68" t="s">
        <v>177</v>
      </c>
    </row>
    <row r="583" spans="7:7">
      <c r="G583" s="68" t="s">
        <v>177</v>
      </c>
    </row>
    <row r="584" spans="7:7">
      <c r="G584" s="68" t="s">
        <v>177</v>
      </c>
    </row>
    <row r="585" spans="7:7">
      <c r="G585" s="68" t="s">
        <v>177</v>
      </c>
    </row>
    <row r="586" spans="7:7">
      <c r="G586" s="68" t="s">
        <v>177</v>
      </c>
    </row>
    <row r="587" spans="7:7">
      <c r="G587" s="68" t="s">
        <v>177</v>
      </c>
    </row>
    <row r="588" spans="7:7">
      <c r="G588" s="68" t="s">
        <v>177</v>
      </c>
    </row>
    <row r="589" spans="7:7">
      <c r="G589" s="68" t="s">
        <v>177</v>
      </c>
    </row>
    <row r="590" spans="7:7">
      <c r="G590" s="68" t="s">
        <v>177</v>
      </c>
    </row>
    <row r="591" spans="7:7">
      <c r="G591" s="68" t="s">
        <v>177</v>
      </c>
    </row>
    <row r="592" spans="7:7">
      <c r="G592" s="68" t="s">
        <v>177</v>
      </c>
    </row>
    <row r="593" spans="7:7">
      <c r="G593" s="68" t="s">
        <v>177</v>
      </c>
    </row>
    <row r="594" spans="7:7">
      <c r="G594" s="68" t="s">
        <v>177</v>
      </c>
    </row>
    <row r="595" spans="7:7">
      <c r="G595" s="68" t="s">
        <v>177</v>
      </c>
    </row>
    <row r="596" spans="7:7">
      <c r="G596" s="68" t="s">
        <v>177</v>
      </c>
    </row>
    <row r="597" spans="7:7">
      <c r="G597" s="68" t="s">
        <v>177</v>
      </c>
    </row>
    <row r="598" spans="7:7">
      <c r="G598" s="68" t="s">
        <v>177</v>
      </c>
    </row>
    <row r="599" spans="7:7">
      <c r="G599" s="68" t="s">
        <v>177</v>
      </c>
    </row>
    <row r="600" spans="7:7">
      <c r="G600" s="68" t="s">
        <v>177</v>
      </c>
    </row>
    <row r="601" spans="7:7">
      <c r="G601" s="68" t="s">
        <v>177</v>
      </c>
    </row>
    <row r="602" spans="7:7">
      <c r="G602" s="68" t="s">
        <v>177</v>
      </c>
    </row>
    <row r="603" spans="7:7">
      <c r="G603" s="68" t="s">
        <v>177</v>
      </c>
    </row>
    <row r="604" spans="7:7">
      <c r="G604" s="68" t="s">
        <v>177</v>
      </c>
    </row>
    <row r="605" spans="7:7">
      <c r="G605" s="68" t="s">
        <v>177</v>
      </c>
    </row>
    <row r="606" spans="7:7">
      <c r="G606" s="68" t="s">
        <v>177</v>
      </c>
    </row>
    <row r="607" spans="7:7">
      <c r="G607" s="68" t="s">
        <v>177</v>
      </c>
    </row>
    <row r="608" spans="7:7">
      <c r="G608" s="68" t="s">
        <v>177</v>
      </c>
    </row>
    <row r="609" spans="7:7">
      <c r="G609" s="68" t="s">
        <v>177</v>
      </c>
    </row>
    <row r="610" spans="7:7">
      <c r="G610" s="68" t="s">
        <v>177</v>
      </c>
    </row>
    <row r="611" spans="7:7">
      <c r="G611" s="68" t="s">
        <v>177</v>
      </c>
    </row>
    <row r="612" spans="7:7">
      <c r="G612" s="68" t="s">
        <v>177</v>
      </c>
    </row>
    <row r="613" spans="7:7">
      <c r="G613" s="68" t="s">
        <v>177</v>
      </c>
    </row>
    <row r="614" spans="7:7">
      <c r="G614" s="68" t="s">
        <v>177</v>
      </c>
    </row>
    <row r="615" spans="7:7">
      <c r="G615" s="68" t="s">
        <v>177</v>
      </c>
    </row>
    <row r="616" spans="7:7">
      <c r="G616" s="68" t="s">
        <v>177</v>
      </c>
    </row>
    <row r="617" spans="7:7">
      <c r="G617" s="68" t="s">
        <v>177</v>
      </c>
    </row>
    <row r="618" spans="7:7">
      <c r="G618" s="68" t="s">
        <v>177</v>
      </c>
    </row>
    <row r="619" spans="7:7">
      <c r="G619" s="68" t="s">
        <v>177</v>
      </c>
    </row>
    <row r="620" spans="7:7">
      <c r="G620" s="68" t="s">
        <v>177</v>
      </c>
    </row>
    <row r="621" spans="7:7">
      <c r="G621" s="68" t="s">
        <v>177</v>
      </c>
    </row>
    <row r="622" spans="7:7">
      <c r="G622" s="68" t="s">
        <v>177</v>
      </c>
    </row>
    <row r="623" spans="7:7">
      <c r="G623" s="68" t="s">
        <v>177</v>
      </c>
    </row>
    <row r="624" spans="7:7">
      <c r="G624" s="68" t="s">
        <v>177</v>
      </c>
    </row>
    <row r="625" spans="7:7">
      <c r="G625" s="68" t="s">
        <v>177</v>
      </c>
    </row>
    <row r="626" spans="7:7">
      <c r="G626" s="68" t="s">
        <v>177</v>
      </c>
    </row>
    <row r="627" spans="7:7">
      <c r="G627" s="68" t="s">
        <v>177</v>
      </c>
    </row>
    <row r="628" spans="7:7">
      <c r="G628" s="68" t="s">
        <v>177</v>
      </c>
    </row>
    <row r="629" spans="7:7">
      <c r="G629" s="68" t="s">
        <v>177</v>
      </c>
    </row>
    <row r="630" spans="7:7">
      <c r="G630" s="68" t="s">
        <v>177</v>
      </c>
    </row>
    <row r="631" spans="7:7">
      <c r="G631" s="68" t="s">
        <v>177</v>
      </c>
    </row>
    <row r="632" spans="7:7">
      <c r="G632" s="68" t="s">
        <v>177</v>
      </c>
    </row>
    <row r="633" spans="7:7">
      <c r="G633" s="68" t="s">
        <v>177</v>
      </c>
    </row>
    <row r="634" spans="7:7">
      <c r="G634" s="68" t="s">
        <v>177</v>
      </c>
    </row>
    <row r="635" spans="7:7">
      <c r="G635" s="68" t="s">
        <v>177</v>
      </c>
    </row>
    <row r="636" spans="7:7">
      <c r="G636" s="68" t="s">
        <v>177</v>
      </c>
    </row>
    <row r="637" spans="7:7">
      <c r="G637" s="68" t="s">
        <v>177</v>
      </c>
    </row>
    <row r="638" spans="7:7">
      <c r="G638" s="68" t="s">
        <v>177</v>
      </c>
    </row>
    <row r="639" spans="7:7">
      <c r="G639" s="68" t="s">
        <v>177</v>
      </c>
    </row>
    <row r="640" spans="7:7">
      <c r="G640" s="68" t="s">
        <v>177</v>
      </c>
    </row>
    <row r="641" spans="7:7">
      <c r="G641" s="68" t="s">
        <v>177</v>
      </c>
    </row>
    <row r="642" spans="7:7">
      <c r="G642" s="68" t="s">
        <v>177</v>
      </c>
    </row>
    <row r="643" spans="7:7">
      <c r="G643" s="68" t="s">
        <v>177</v>
      </c>
    </row>
    <row r="644" spans="7:7">
      <c r="G644" s="68" t="s">
        <v>177</v>
      </c>
    </row>
    <row r="645" spans="7:7">
      <c r="G645" s="68" t="s">
        <v>177</v>
      </c>
    </row>
    <row r="646" spans="7:7">
      <c r="G646" s="68" t="s">
        <v>177</v>
      </c>
    </row>
    <row r="647" spans="7:7">
      <c r="G647" s="68" t="s">
        <v>177</v>
      </c>
    </row>
    <row r="648" spans="7:7">
      <c r="G648" s="68" t="s">
        <v>177</v>
      </c>
    </row>
    <row r="649" spans="7:7">
      <c r="G649" s="68" t="s">
        <v>177</v>
      </c>
    </row>
    <row r="650" spans="7:7">
      <c r="G650" s="68" t="s">
        <v>177</v>
      </c>
    </row>
    <row r="651" spans="7:7">
      <c r="G651" s="68" t="s">
        <v>177</v>
      </c>
    </row>
    <row r="652" spans="7:7">
      <c r="G652" s="68" t="s">
        <v>177</v>
      </c>
    </row>
    <row r="653" spans="7:7">
      <c r="G653" s="68" t="s">
        <v>177</v>
      </c>
    </row>
    <row r="654" spans="7:7">
      <c r="G654" s="68" t="s">
        <v>177</v>
      </c>
    </row>
    <row r="655" spans="7:7">
      <c r="G655" s="68" t="s">
        <v>177</v>
      </c>
    </row>
    <row r="656" spans="7:7">
      <c r="G656" s="68" t="s">
        <v>177</v>
      </c>
    </row>
    <row r="657" spans="7:7">
      <c r="G657" s="68" t="s">
        <v>177</v>
      </c>
    </row>
    <row r="658" spans="7:7">
      <c r="G658" s="68" t="s">
        <v>177</v>
      </c>
    </row>
    <row r="659" spans="7:7">
      <c r="G659" s="68" t="s">
        <v>177</v>
      </c>
    </row>
    <row r="660" spans="7:7">
      <c r="G660" s="68" t="s">
        <v>177</v>
      </c>
    </row>
    <row r="661" spans="7:7">
      <c r="G661" s="68" t="s">
        <v>177</v>
      </c>
    </row>
    <row r="662" spans="7:7">
      <c r="G662" s="68" t="s">
        <v>177</v>
      </c>
    </row>
    <row r="663" spans="7:7">
      <c r="G663" s="68" t="s">
        <v>177</v>
      </c>
    </row>
    <row r="664" spans="7:7">
      <c r="G664" s="68" t="s">
        <v>177</v>
      </c>
    </row>
    <row r="665" spans="7:7">
      <c r="G665" s="68" t="s">
        <v>177</v>
      </c>
    </row>
    <row r="666" spans="7:7">
      <c r="G666" s="68" t="s">
        <v>177</v>
      </c>
    </row>
    <row r="667" spans="7:7">
      <c r="G667" s="68" t="s">
        <v>177</v>
      </c>
    </row>
    <row r="668" spans="7:7">
      <c r="G668" s="68" t="s">
        <v>177</v>
      </c>
    </row>
    <row r="669" spans="7:7">
      <c r="G669" s="68" t="s">
        <v>177</v>
      </c>
    </row>
    <row r="670" spans="7:7">
      <c r="G670" s="68" t="s">
        <v>177</v>
      </c>
    </row>
    <row r="671" spans="7:7">
      <c r="G671" s="68" t="s">
        <v>177</v>
      </c>
    </row>
    <row r="672" spans="7:7">
      <c r="G672" s="68" t="s">
        <v>177</v>
      </c>
    </row>
    <row r="673" spans="7:7">
      <c r="G673" s="68" t="s">
        <v>177</v>
      </c>
    </row>
    <row r="674" spans="7:7">
      <c r="G674" s="68" t="s">
        <v>177</v>
      </c>
    </row>
    <row r="675" spans="7:7">
      <c r="G675" s="68" t="s">
        <v>177</v>
      </c>
    </row>
    <row r="676" spans="7:7">
      <c r="G676" s="68" t="s">
        <v>177</v>
      </c>
    </row>
    <row r="677" spans="7:7">
      <c r="G677" s="68" t="s">
        <v>177</v>
      </c>
    </row>
    <row r="678" spans="7:7">
      <c r="G678" s="68" t="s">
        <v>177</v>
      </c>
    </row>
    <row r="679" spans="7:7">
      <c r="G679" s="68" t="s">
        <v>177</v>
      </c>
    </row>
    <row r="680" spans="7:7">
      <c r="G680" s="68" t="s">
        <v>177</v>
      </c>
    </row>
    <row r="681" spans="7:7">
      <c r="G681" s="68" t="s">
        <v>177</v>
      </c>
    </row>
    <row r="682" spans="7:7">
      <c r="G682" s="68" t="s">
        <v>177</v>
      </c>
    </row>
    <row r="683" spans="7:7">
      <c r="G683" s="68" t="s">
        <v>177</v>
      </c>
    </row>
    <row r="684" spans="7:7">
      <c r="G684" s="68" t="s">
        <v>177</v>
      </c>
    </row>
    <row r="685" spans="7:7">
      <c r="G685" s="68" t="s">
        <v>177</v>
      </c>
    </row>
    <row r="686" spans="7:7">
      <c r="G686" s="68" t="s">
        <v>177</v>
      </c>
    </row>
    <row r="687" spans="7:7">
      <c r="G687" s="68" t="s">
        <v>177</v>
      </c>
    </row>
    <row r="688" spans="7:7">
      <c r="G688" s="68" t="s">
        <v>177</v>
      </c>
    </row>
    <row r="689" spans="7:7">
      <c r="G689" s="68" t="s">
        <v>177</v>
      </c>
    </row>
    <row r="690" spans="7:7">
      <c r="G690" s="68" t="s">
        <v>177</v>
      </c>
    </row>
    <row r="691" spans="7:7">
      <c r="G691" s="68" t="s">
        <v>177</v>
      </c>
    </row>
    <row r="692" spans="7:7">
      <c r="G692" s="68" t="s">
        <v>177</v>
      </c>
    </row>
    <row r="693" spans="7:7">
      <c r="G693" s="68" t="s">
        <v>177</v>
      </c>
    </row>
    <row r="694" spans="7:7">
      <c r="G694" s="68" t="s">
        <v>177</v>
      </c>
    </row>
    <row r="695" spans="7:7">
      <c r="G695" s="68" t="s">
        <v>177</v>
      </c>
    </row>
    <row r="696" spans="7:7">
      <c r="G696" s="68" t="s">
        <v>177</v>
      </c>
    </row>
    <row r="697" spans="7:7">
      <c r="G697" s="68" t="s">
        <v>177</v>
      </c>
    </row>
    <row r="698" spans="7:7">
      <c r="G698" s="68" t="s">
        <v>177</v>
      </c>
    </row>
    <row r="699" spans="7:7">
      <c r="G699" s="68" t="s">
        <v>177</v>
      </c>
    </row>
    <row r="700" spans="7:7">
      <c r="G700" s="68" t="s">
        <v>177</v>
      </c>
    </row>
    <row r="701" spans="7:7">
      <c r="G701" s="68" t="s">
        <v>177</v>
      </c>
    </row>
    <row r="702" spans="7:7">
      <c r="G702" s="68" t="s">
        <v>177</v>
      </c>
    </row>
    <row r="703" spans="7:7">
      <c r="G703" s="68" t="s">
        <v>177</v>
      </c>
    </row>
    <row r="704" spans="7:7">
      <c r="G704" s="68" t="s">
        <v>177</v>
      </c>
    </row>
    <row r="705" spans="7:7">
      <c r="G705" s="68" t="s">
        <v>177</v>
      </c>
    </row>
    <row r="706" spans="7:7">
      <c r="G706" s="68" t="s">
        <v>177</v>
      </c>
    </row>
    <row r="707" spans="7:7">
      <c r="G707" s="68" t="s">
        <v>177</v>
      </c>
    </row>
    <row r="708" spans="7:7">
      <c r="G708" s="68" t="s">
        <v>177</v>
      </c>
    </row>
    <row r="709" spans="7:7">
      <c r="G709" s="68" t="s">
        <v>177</v>
      </c>
    </row>
    <row r="710" spans="7:7">
      <c r="G710" s="68" t="s">
        <v>177</v>
      </c>
    </row>
    <row r="711" spans="7:7">
      <c r="G711" s="68" t="s">
        <v>177</v>
      </c>
    </row>
    <row r="712" spans="7:7">
      <c r="G712" s="68" t="s">
        <v>177</v>
      </c>
    </row>
    <row r="713" spans="7:7">
      <c r="G713" s="68" t="s">
        <v>177</v>
      </c>
    </row>
    <row r="714" spans="7:7">
      <c r="G714" s="68" t="s">
        <v>177</v>
      </c>
    </row>
    <row r="715" spans="7:7">
      <c r="G715" s="68" t="s">
        <v>177</v>
      </c>
    </row>
    <row r="716" spans="7:7">
      <c r="G716" s="68" t="s">
        <v>177</v>
      </c>
    </row>
    <row r="717" spans="7:7">
      <c r="G717" s="68" t="s">
        <v>177</v>
      </c>
    </row>
    <row r="718" spans="7:7">
      <c r="G718" s="68" t="s">
        <v>177</v>
      </c>
    </row>
    <row r="719" spans="7:7">
      <c r="G719" s="68" t="s">
        <v>177</v>
      </c>
    </row>
    <row r="720" spans="7:7">
      <c r="G720" s="68" t="s">
        <v>177</v>
      </c>
    </row>
    <row r="721" spans="7:7">
      <c r="G721" s="68" t="s">
        <v>177</v>
      </c>
    </row>
    <row r="722" spans="7:7">
      <c r="G722" s="68" t="s">
        <v>177</v>
      </c>
    </row>
    <row r="723" spans="7:7">
      <c r="G723" s="68" t="s">
        <v>177</v>
      </c>
    </row>
    <row r="724" spans="7:7">
      <c r="G724" s="68" t="s">
        <v>177</v>
      </c>
    </row>
    <row r="725" spans="7:7">
      <c r="G725" s="68" t="s">
        <v>177</v>
      </c>
    </row>
    <row r="726" spans="7:7">
      <c r="G726" s="68" t="s">
        <v>177</v>
      </c>
    </row>
    <row r="727" spans="7:7">
      <c r="G727" s="68" t="s">
        <v>177</v>
      </c>
    </row>
    <row r="728" spans="7:7">
      <c r="G728" s="68" t="s">
        <v>177</v>
      </c>
    </row>
    <row r="729" spans="7:7">
      <c r="G729" s="68" t="s">
        <v>177</v>
      </c>
    </row>
    <row r="730" spans="7:7">
      <c r="G730" s="68" t="s">
        <v>177</v>
      </c>
    </row>
    <row r="731" spans="7:7">
      <c r="G731" s="68" t="s">
        <v>177</v>
      </c>
    </row>
    <row r="732" spans="7:7">
      <c r="G732" s="68" t="s">
        <v>177</v>
      </c>
    </row>
    <row r="733" spans="7:7">
      <c r="G733" s="68" t="s">
        <v>177</v>
      </c>
    </row>
    <row r="734" spans="7:7">
      <c r="G734" s="68" t="s">
        <v>177</v>
      </c>
    </row>
    <row r="735" spans="7:7">
      <c r="G735" s="68" t="s">
        <v>177</v>
      </c>
    </row>
    <row r="736" spans="7:7">
      <c r="G736" s="68" t="s">
        <v>177</v>
      </c>
    </row>
    <row r="737" spans="7:7">
      <c r="G737" s="68" t="s">
        <v>177</v>
      </c>
    </row>
    <row r="738" spans="7:7">
      <c r="G738" s="68" t="s">
        <v>177</v>
      </c>
    </row>
    <row r="739" spans="7:7">
      <c r="G739" s="68" t="s">
        <v>177</v>
      </c>
    </row>
    <row r="740" spans="7:7">
      <c r="G740" s="68" t="s">
        <v>177</v>
      </c>
    </row>
    <row r="741" spans="7:7">
      <c r="G741" s="68" t="s">
        <v>177</v>
      </c>
    </row>
    <row r="742" spans="7:7">
      <c r="G742" s="68" t="s">
        <v>177</v>
      </c>
    </row>
    <row r="743" spans="7:7">
      <c r="G743" s="68" t="s">
        <v>177</v>
      </c>
    </row>
    <row r="744" spans="7:7">
      <c r="G744" s="68" t="s">
        <v>177</v>
      </c>
    </row>
    <row r="745" spans="7:7">
      <c r="G745" s="68" t="s">
        <v>177</v>
      </c>
    </row>
    <row r="746" spans="7:7">
      <c r="G746" s="68" t="s">
        <v>177</v>
      </c>
    </row>
    <row r="747" spans="7:7">
      <c r="G747" s="68" t="s">
        <v>177</v>
      </c>
    </row>
    <row r="748" spans="7:7">
      <c r="G748" s="68" t="s">
        <v>177</v>
      </c>
    </row>
    <row r="749" spans="7:7">
      <c r="G749" s="68" t="s">
        <v>177</v>
      </c>
    </row>
    <row r="750" spans="7:7">
      <c r="G750" s="68" t="s">
        <v>177</v>
      </c>
    </row>
    <row r="751" spans="7:7">
      <c r="G751" s="68" t="s">
        <v>177</v>
      </c>
    </row>
    <row r="752" spans="7:7">
      <c r="G752" s="68" t="s">
        <v>177</v>
      </c>
    </row>
    <row r="753" spans="7:7">
      <c r="G753" s="68" t="s">
        <v>177</v>
      </c>
    </row>
    <row r="754" spans="7:7">
      <c r="G754" s="68" t="s">
        <v>177</v>
      </c>
    </row>
    <row r="755" spans="7:7">
      <c r="G755" s="68" t="s">
        <v>177</v>
      </c>
    </row>
    <row r="756" spans="7:7">
      <c r="G756" s="68" t="s">
        <v>177</v>
      </c>
    </row>
    <row r="757" spans="7:7">
      <c r="G757" s="68" t="s">
        <v>177</v>
      </c>
    </row>
    <row r="758" spans="7:7">
      <c r="G758" s="68" t="s">
        <v>177</v>
      </c>
    </row>
    <row r="759" spans="7:7">
      <c r="G759" s="68" t="s">
        <v>177</v>
      </c>
    </row>
    <row r="760" spans="7:7">
      <c r="G760" s="68" t="s">
        <v>177</v>
      </c>
    </row>
    <row r="761" spans="7:7">
      <c r="G761" s="68" t="s">
        <v>177</v>
      </c>
    </row>
    <row r="762" spans="7:7">
      <c r="G762" s="68" t="s">
        <v>177</v>
      </c>
    </row>
    <row r="763" spans="7:7">
      <c r="G763" s="68" t="s">
        <v>177</v>
      </c>
    </row>
    <row r="764" spans="7:7">
      <c r="G764" s="68" t="s">
        <v>177</v>
      </c>
    </row>
    <row r="765" spans="7:7">
      <c r="G765" s="68" t="s">
        <v>177</v>
      </c>
    </row>
    <row r="766" spans="7:7">
      <c r="G766" s="68" t="s">
        <v>177</v>
      </c>
    </row>
    <row r="767" spans="7:7">
      <c r="G767" s="68" t="s">
        <v>177</v>
      </c>
    </row>
    <row r="768" spans="7:7">
      <c r="G768" s="68" t="s">
        <v>177</v>
      </c>
    </row>
    <row r="769" spans="7:7">
      <c r="G769" s="68" t="s">
        <v>177</v>
      </c>
    </row>
    <row r="770" spans="7:7">
      <c r="G770" s="68" t="s">
        <v>177</v>
      </c>
    </row>
    <row r="771" spans="7:7">
      <c r="G771" s="68" t="s">
        <v>177</v>
      </c>
    </row>
    <row r="772" spans="7:7">
      <c r="G772" s="68" t="s">
        <v>177</v>
      </c>
    </row>
    <row r="773" spans="7:7">
      <c r="G773" s="68" t="s">
        <v>177</v>
      </c>
    </row>
    <row r="774" spans="7:7">
      <c r="G774" s="68" t="s">
        <v>177</v>
      </c>
    </row>
    <row r="775" spans="7:7">
      <c r="G775" s="68" t="s">
        <v>177</v>
      </c>
    </row>
    <row r="776" spans="7:7">
      <c r="G776" s="68" t="s">
        <v>177</v>
      </c>
    </row>
    <row r="777" spans="7:7">
      <c r="G777" s="68" t="s">
        <v>177</v>
      </c>
    </row>
    <row r="778" spans="7:7">
      <c r="G778" s="68" t="s">
        <v>177</v>
      </c>
    </row>
    <row r="779" spans="7:7">
      <c r="G779" s="68" t="s">
        <v>177</v>
      </c>
    </row>
    <row r="780" spans="7:7">
      <c r="G780" s="68" t="s">
        <v>177</v>
      </c>
    </row>
    <row r="781" spans="7:7">
      <c r="G781" s="68" t="s">
        <v>177</v>
      </c>
    </row>
    <row r="782" spans="7:7">
      <c r="G782" s="68" t="s">
        <v>177</v>
      </c>
    </row>
    <row r="783" spans="7:7">
      <c r="G783" s="68" t="s">
        <v>177</v>
      </c>
    </row>
    <row r="784" spans="7:7">
      <c r="G784" s="68" t="s">
        <v>177</v>
      </c>
    </row>
    <row r="785" spans="7:7">
      <c r="G785" s="68" t="s">
        <v>177</v>
      </c>
    </row>
    <row r="786" spans="7:7">
      <c r="G786" s="68" t="s">
        <v>177</v>
      </c>
    </row>
    <row r="787" spans="7:7">
      <c r="G787" s="68" t="s">
        <v>177</v>
      </c>
    </row>
    <row r="788" spans="7:7">
      <c r="G788" s="68" t="s">
        <v>177</v>
      </c>
    </row>
    <row r="789" spans="7:7">
      <c r="G789" s="68" t="s">
        <v>177</v>
      </c>
    </row>
    <row r="790" spans="7:7">
      <c r="G790" s="68" t="s">
        <v>177</v>
      </c>
    </row>
    <row r="791" spans="7:7">
      <c r="G791" s="68" t="s">
        <v>177</v>
      </c>
    </row>
    <row r="792" spans="7:7">
      <c r="G792" s="68" t="s">
        <v>177</v>
      </c>
    </row>
    <row r="793" spans="7:7">
      <c r="G793" s="68" t="s">
        <v>177</v>
      </c>
    </row>
    <row r="794" spans="7:7">
      <c r="G794" s="68" t="s">
        <v>177</v>
      </c>
    </row>
    <row r="795" spans="7:7">
      <c r="G795" s="68" t="s">
        <v>177</v>
      </c>
    </row>
    <row r="796" spans="7:7">
      <c r="G796" s="68" t="s">
        <v>177</v>
      </c>
    </row>
    <row r="797" spans="7:7">
      <c r="G797" s="68" t="s">
        <v>177</v>
      </c>
    </row>
    <row r="798" spans="7:7">
      <c r="G798" s="68" t="s">
        <v>177</v>
      </c>
    </row>
    <row r="799" spans="7:7">
      <c r="G799" s="68" t="s">
        <v>177</v>
      </c>
    </row>
    <row r="800" spans="7:7">
      <c r="G800" s="68" t="s">
        <v>177</v>
      </c>
    </row>
    <row r="801" spans="7:7">
      <c r="G801" s="68" t="s">
        <v>177</v>
      </c>
    </row>
    <row r="802" spans="7:7">
      <c r="G802" s="68" t="s">
        <v>177</v>
      </c>
    </row>
    <row r="803" spans="7:7">
      <c r="G803" s="68" t="s">
        <v>177</v>
      </c>
    </row>
    <row r="804" spans="7:7">
      <c r="G804" s="68" t="s">
        <v>177</v>
      </c>
    </row>
    <row r="805" spans="7:7">
      <c r="G805" s="68" t="s">
        <v>177</v>
      </c>
    </row>
    <row r="806" spans="7:7">
      <c r="G806" s="68" t="s">
        <v>177</v>
      </c>
    </row>
    <row r="807" spans="7:7">
      <c r="G807" s="68" t="s">
        <v>177</v>
      </c>
    </row>
    <row r="808" spans="7:7">
      <c r="G808" s="68" t="s">
        <v>177</v>
      </c>
    </row>
    <row r="809" spans="7:7">
      <c r="G809" s="68" t="s">
        <v>177</v>
      </c>
    </row>
    <row r="810" spans="7:7">
      <c r="G810" s="68" t="s">
        <v>177</v>
      </c>
    </row>
    <row r="811" spans="7:7">
      <c r="G811" s="68" t="s">
        <v>177</v>
      </c>
    </row>
    <row r="812" spans="7:7">
      <c r="G812" s="68" t="s">
        <v>177</v>
      </c>
    </row>
    <row r="813" spans="7:7">
      <c r="G813" s="68" t="s">
        <v>177</v>
      </c>
    </row>
    <row r="814" spans="7:7">
      <c r="G814" s="68" t="s">
        <v>177</v>
      </c>
    </row>
    <row r="815" spans="7:7">
      <c r="G815" s="68" t="s">
        <v>177</v>
      </c>
    </row>
    <row r="816" spans="7:7">
      <c r="G816" s="68" t="s">
        <v>177</v>
      </c>
    </row>
    <row r="817" spans="7:7">
      <c r="G817" s="68" t="s">
        <v>177</v>
      </c>
    </row>
    <row r="818" spans="7:7">
      <c r="G818" s="68" t="s">
        <v>177</v>
      </c>
    </row>
    <row r="819" spans="7:7">
      <c r="G819" s="68" t="s">
        <v>177</v>
      </c>
    </row>
    <row r="820" spans="7:7">
      <c r="G820" s="68" t="s">
        <v>177</v>
      </c>
    </row>
    <row r="821" spans="7:7">
      <c r="G821" s="68" t="s">
        <v>177</v>
      </c>
    </row>
    <row r="822" spans="7:7">
      <c r="G822" s="68" t="s">
        <v>177</v>
      </c>
    </row>
    <row r="823" spans="7:7">
      <c r="G823" s="68" t="s">
        <v>177</v>
      </c>
    </row>
    <row r="824" spans="7:7">
      <c r="G824" s="68" t="s">
        <v>177</v>
      </c>
    </row>
    <row r="825" spans="7:7">
      <c r="G825" s="68" t="s">
        <v>177</v>
      </c>
    </row>
    <row r="826" spans="7:7">
      <c r="G826" s="68" t="s">
        <v>177</v>
      </c>
    </row>
    <row r="827" spans="7:7">
      <c r="G827" s="68" t="s">
        <v>177</v>
      </c>
    </row>
    <row r="828" spans="7:7">
      <c r="G828" s="68" t="s">
        <v>177</v>
      </c>
    </row>
    <row r="829" spans="7:7">
      <c r="G829" s="68" t="s">
        <v>177</v>
      </c>
    </row>
    <row r="830" spans="7:7">
      <c r="G830" s="68" t="s">
        <v>177</v>
      </c>
    </row>
    <row r="831" spans="7:7">
      <c r="G831" s="68" t="s">
        <v>177</v>
      </c>
    </row>
    <row r="832" spans="7:7">
      <c r="G832" s="68" t="s">
        <v>177</v>
      </c>
    </row>
    <row r="833" spans="7:7">
      <c r="G833" s="68" t="s">
        <v>177</v>
      </c>
    </row>
    <row r="834" spans="7:7">
      <c r="G834" s="68" t="s">
        <v>177</v>
      </c>
    </row>
    <row r="835" spans="7:7">
      <c r="G835" s="68" t="s">
        <v>177</v>
      </c>
    </row>
    <row r="836" spans="7:7">
      <c r="G836" s="68" t="s">
        <v>177</v>
      </c>
    </row>
    <row r="837" spans="7:7">
      <c r="G837" s="68" t="s">
        <v>177</v>
      </c>
    </row>
    <row r="838" spans="7:7">
      <c r="G838" s="68" t="s">
        <v>177</v>
      </c>
    </row>
    <row r="839" spans="7:7">
      <c r="G839" s="68" t="s">
        <v>177</v>
      </c>
    </row>
    <row r="840" spans="7:7">
      <c r="G840" s="68" t="s">
        <v>177</v>
      </c>
    </row>
    <row r="841" spans="7:7">
      <c r="G841" s="68" t="s">
        <v>177</v>
      </c>
    </row>
    <row r="842" spans="7:7">
      <c r="G842" s="68" t="s">
        <v>177</v>
      </c>
    </row>
    <row r="843" spans="7:7">
      <c r="G843" s="68" t="s">
        <v>177</v>
      </c>
    </row>
    <row r="844" spans="7:7">
      <c r="G844" s="68" t="s">
        <v>177</v>
      </c>
    </row>
    <row r="845" spans="7:7">
      <c r="G845" s="68" t="s">
        <v>177</v>
      </c>
    </row>
    <row r="846" spans="7:7">
      <c r="G846" s="68" t="s">
        <v>177</v>
      </c>
    </row>
  </sheetData>
  <mergeCells count="2">
    <mergeCell ref="A1:D1"/>
    <mergeCell ref="F1:I1"/>
  </mergeCells>
  <pageMargins left="0.75" right="0.75" top="1" bottom="1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2DF68-DB1E-493A-85FD-015D82AB1DEF}">
  <sheetPr>
    <tabColor theme="8" tint="-0.249977111117893"/>
  </sheetPr>
  <dimension ref="A1:C21"/>
  <sheetViews>
    <sheetView workbookViewId="0">
      <selection sqref="A1:C21"/>
    </sheetView>
  </sheetViews>
  <sheetFormatPr defaultRowHeight="12.5"/>
  <cols>
    <col min="1" max="1" width="19.1796875" style="30" customWidth="1"/>
    <col min="2" max="2" width="14" style="27" customWidth="1"/>
    <col min="3" max="3" width="14.81640625" style="30" customWidth="1"/>
    <col min="4" max="16384" width="8.7265625" style="41"/>
  </cols>
  <sheetData>
    <row r="1" spans="1:3" ht="13">
      <c r="A1" s="44" t="s">
        <v>52</v>
      </c>
      <c r="B1" s="45" t="s">
        <v>53</v>
      </c>
      <c r="C1" s="44" t="s">
        <v>54</v>
      </c>
    </row>
    <row r="2" spans="1:3" ht="14.5">
      <c r="A2" s="46">
        <v>1234567</v>
      </c>
      <c r="B2" s="47">
        <v>5.69</v>
      </c>
      <c r="C2" s="48"/>
    </row>
    <row r="3" spans="1:3" ht="14.5">
      <c r="A3" s="46">
        <v>1234568</v>
      </c>
      <c r="B3" s="47">
        <v>55220</v>
      </c>
      <c r="C3" s="48"/>
    </row>
    <row r="4" spans="1:3" ht="14.5">
      <c r="A4" s="46">
        <v>1234569</v>
      </c>
      <c r="B4" s="47">
        <v>4500</v>
      </c>
      <c r="C4" s="48"/>
    </row>
    <row r="5" spans="1:3" ht="14.5">
      <c r="A5" s="46">
        <v>1234570</v>
      </c>
      <c r="B5" s="28">
        <v>22000</v>
      </c>
      <c r="C5" s="46"/>
    </row>
    <row r="6" spans="1:3" ht="14.5">
      <c r="A6" s="46">
        <v>1234571</v>
      </c>
      <c r="B6" s="28">
        <v>10000</v>
      </c>
      <c r="C6" s="46"/>
    </row>
    <row r="7" spans="1:3" ht="14.5">
      <c r="A7" s="46">
        <v>1234572</v>
      </c>
      <c r="B7" s="28">
        <v>3200</v>
      </c>
      <c r="C7" s="46"/>
    </row>
    <row r="8" spans="1:3" ht="14.5">
      <c r="A8" s="46">
        <v>1234573</v>
      </c>
      <c r="B8" s="28">
        <v>560</v>
      </c>
      <c r="C8" s="46"/>
    </row>
    <row r="9" spans="1:3" ht="14.5">
      <c r="A9" s="46">
        <v>1234574</v>
      </c>
      <c r="B9" s="28">
        <v>66</v>
      </c>
      <c r="C9" s="46"/>
    </row>
    <row r="10" spans="1:3" ht="14.5">
      <c r="A10" s="46">
        <v>1234575</v>
      </c>
      <c r="B10" s="28">
        <v>300</v>
      </c>
      <c r="C10" s="46"/>
    </row>
    <row r="11" spans="1:3" ht="14.5">
      <c r="A11" s="46">
        <v>1234576</v>
      </c>
      <c r="B11" s="28">
        <v>699</v>
      </c>
      <c r="C11" s="46"/>
    </row>
    <row r="12" spans="1:3" ht="14.5">
      <c r="A12" s="46">
        <v>1234577</v>
      </c>
      <c r="B12" s="28">
        <v>450</v>
      </c>
      <c r="C12" s="46"/>
    </row>
    <row r="13" spans="1:3" ht="14.5">
      <c r="A13" s="46">
        <v>1234578</v>
      </c>
      <c r="B13" s="28">
        <v>50</v>
      </c>
      <c r="C13" s="46"/>
    </row>
    <row r="14" spans="1:3" ht="14.5">
      <c r="A14" s="46">
        <v>1234579</v>
      </c>
      <c r="B14" s="28">
        <v>22</v>
      </c>
      <c r="C14" s="46"/>
    </row>
    <row r="15" spans="1:3" ht="14.5">
      <c r="A15" s="46">
        <v>1234580</v>
      </c>
      <c r="B15" s="28">
        <v>30</v>
      </c>
      <c r="C15" s="46"/>
    </row>
    <row r="16" spans="1:3" ht="14.5">
      <c r="A16" s="46">
        <v>1234581</v>
      </c>
      <c r="B16" s="28">
        <v>89</v>
      </c>
      <c r="C16" s="46"/>
    </row>
    <row r="17" spans="1:3" ht="14.5">
      <c r="A17" s="46">
        <v>1234582</v>
      </c>
      <c r="B17" s="28">
        <v>300</v>
      </c>
      <c r="C17" s="46"/>
    </row>
    <row r="18" spans="1:3" ht="14.5">
      <c r="A18" s="46">
        <v>1234583</v>
      </c>
      <c r="B18" s="28">
        <v>200</v>
      </c>
      <c r="C18" s="46"/>
    </row>
    <row r="19" spans="1:3" ht="14.5">
      <c r="A19" s="46">
        <v>1234584</v>
      </c>
      <c r="B19" s="28">
        <v>223</v>
      </c>
      <c r="C19" s="46"/>
    </row>
    <row r="20" spans="1:3" ht="14.5">
      <c r="A20" s="46">
        <v>1234585</v>
      </c>
      <c r="B20" s="28">
        <v>30000</v>
      </c>
      <c r="C20" s="46"/>
    </row>
    <row r="21" spans="1:3" ht="14.5">
      <c r="A21" s="46">
        <v>1234586</v>
      </c>
      <c r="B21" s="28">
        <v>79000</v>
      </c>
      <c r="C21" s="46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092D-D3D1-4584-9A8F-8EA8DE493E50}">
  <sheetPr>
    <tabColor theme="8" tint="-0.249977111117893"/>
  </sheetPr>
  <dimension ref="A1:C5"/>
  <sheetViews>
    <sheetView workbookViewId="0">
      <selection sqref="A1:C5"/>
    </sheetView>
  </sheetViews>
  <sheetFormatPr defaultRowHeight="12.5"/>
  <cols>
    <col min="1" max="2" width="11.26953125" style="41" bestFit="1" customWidth="1"/>
    <col min="3" max="3" width="13.26953125" style="41" customWidth="1"/>
    <col min="4" max="16384" width="8.7265625" style="41"/>
  </cols>
  <sheetData>
    <row r="1" spans="1:3" ht="13">
      <c r="A1" s="40" t="s">
        <v>49</v>
      </c>
      <c r="B1" s="40" t="s">
        <v>50</v>
      </c>
      <c r="C1" s="40" t="s">
        <v>51</v>
      </c>
    </row>
    <row r="2" spans="1:3">
      <c r="A2" s="42">
        <v>0</v>
      </c>
      <c r="B2" s="42">
        <v>999.99</v>
      </c>
      <c r="C2" s="43">
        <v>0.02</v>
      </c>
    </row>
    <row r="3" spans="1:3">
      <c r="A3" s="42">
        <v>1000</v>
      </c>
      <c r="B3" s="42">
        <v>4999.99</v>
      </c>
      <c r="C3" s="43">
        <v>0.03</v>
      </c>
    </row>
    <row r="4" spans="1:3">
      <c r="A4" s="42">
        <v>5000</v>
      </c>
      <c r="B4" s="42">
        <v>19999.990000000002</v>
      </c>
      <c r="C4" s="43">
        <v>0.04</v>
      </c>
    </row>
    <row r="5" spans="1:3">
      <c r="A5" s="42">
        <v>20000</v>
      </c>
      <c r="B5" s="42"/>
      <c r="C5" s="43">
        <v>0.05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3766-1725-490B-A76F-7F31D4BCCFA7}">
  <sheetPr>
    <tabColor theme="6" tint="-0.249977111117893"/>
  </sheetPr>
  <dimension ref="A1:M29"/>
  <sheetViews>
    <sheetView workbookViewId="0">
      <selection activeCell="H11" sqref="H11"/>
    </sheetView>
  </sheetViews>
  <sheetFormatPr defaultColWidth="9.26953125" defaultRowHeight="17.25" customHeight="1"/>
  <cols>
    <col min="1" max="1" width="11.7265625" style="33" customWidth="1"/>
    <col min="2" max="2" width="12.26953125" style="33" bestFit="1" customWidth="1"/>
    <col min="3" max="3" width="16.7265625" style="39" customWidth="1"/>
    <col min="4" max="4" width="37.7265625" style="33" customWidth="1"/>
    <col min="5" max="11" width="9.26953125" style="33"/>
    <col min="12" max="12" width="12.26953125" style="33" bestFit="1" customWidth="1"/>
    <col min="13" max="16384" width="9.26953125" style="33"/>
  </cols>
  <sheetData>
    <row r="1" spans="1:13" ht="17.25" customHeight="1">
      <c r="A1" s="31" t="s">
        <v>19</v>
      </c>
      <c r="B1" s="31" t="s">
        <v>17</v>
      </c>
      <c r="C1" s="32" t="s">
        <v>20</v>
      </c>
      <c r="D1" s="31" t="s">
        <v>18</v>
      </c>
    </row>
    <row r="2" spans="1:13" ht="17.25" customHeight="1">
      <c r="A2" s="34" t="s">
        <v>21</v>
      </c>
      <c r="B2" s="35">
        <v>115000</v>
      </c>
      <c r="C2" s="36"/>
      <c r="D2" s="37" t="str">
        <f t="shared" ref="D2:D29" si="0">IFERROR(IF(B2*C2=0,"",B2*C2),0)</f>
        <v/>
      </c>
      <c r="E2" s="38"/>
      <c r="L2" s="27"/>
      <c r="M2" s="27"/>
    </row>
    <row r="3" spans="1:13" ht="17.25" customHeight="1">
      <c r="A3" s="34" t="s">
        <v>22</v>
      </c>
      <c r="B3" s="35">
        <v>145678</v>
      </c>
      <c r="C3" s="36"/>
      <c r="D3" s="37" t="str">
        <f t="shared" si="0"/>
        <v/>
      </c>
      <c r="E3" s="38"/>
      <c r="L3" s="27"/>
      <c r="M3" s="27"/>
    </row>
    <row r="4" spans="1:13" ht="17.25" customHeight="1">
      <c r="A4" s="34" t="s">
        <v>23</v>
      </c>
      <c r="B4" s="35">
        <v>234499</v>
      </c>
      <c r="C4" s="36"/>
      <c r="D4" s="37" t="str">
        <f t="shared" si="0"/>
        <v/>
      </c>
      <c r="E4" s="38"/>
      <c r="L4" s="27"/>
      <c r="M4" s="27"/>
    </row>
    <row r="5" spans="1:13" ht="17.25" customHeight="1">
      <c r="A5" s="34" t="s">
        <v>24</v>
      </c>
      <c r="B5" s="35">
        <v>112345</v>
      </c>
      <c r="C5" s="36"/>
      <c r="D5" s="37" t="str">
        <f t="shared" si="0"/>
        <v/>
      </c>
      <c r="E5" s="38"/>
      <c r="L5" s="27"/>
      <c r="M5" s="27"/>
    </row>
    <row r="6" spans="1:13" ht="17.25" customHeight="1">
      <c r="A6" s="34" t="s">
        <v>25</v>
      </c>
      <c r="B6" s="35">
        <v>67890</v>
      </c>
      <c r="C6" s="36"/>
      <c r="D6" s="37" t="str">
        <f t="shared" si="0"/>
        <v/>
      </c>
      <c r="E6" s="38"/>
      <c r="L6" s="27"/>
      <c r="M6" s="27"/>
    </row>
    <row r="7" spans="1:13" ht="17.25" customHeight="1">
      <c r="A7" s="34" t="s">
        <v>26</v>
      </c>
      <c r="B7" s="35">
        <v>112765</v>
      </c>
      <c r="C7" s="36"/>
      <c r="D7" s="37" t="str">
        <f t="shared" si="0"/>
        <v/>
      </c>
      <c r="E7" s="38"/>
      <c r="L7" s="27"/>
      <c r="M7" s="27"/>
    </row>
    <row r="8" spans="1:13" ht="17.25" customHeight="1">
      <c r="A8" s="34" t="s">
        <v>27</v>
      </c>
      <c r="B8" s="35">
        <v>112546</v>
      </c>
      <c r="C8" s="36"/>
      <c r="D8" s="37" t="str">
        <f t="shared" si="0"/>
        <v/>
      </c>
      <c r="E8" s="38"/>
      <c r="L8" s="27"/>
      <c r="M8" s="27"/>
    </row>
    <row r="9" spans="1:13" ht="17.25" customHeight="1">
      <c r="A9" s="34" t="s">
        <v>28</v>
      </c>
      <c r="B9" s="35">
        <v>123244</v>
      </c>
      <c r="C9" s="36"/>
      <c r="D9" s="37" t="str">
        <f t="shared" si="0"/>
        <v/>
      </c>
      <c r="E9" s="38"/>
      <c r="L9" s="27"/>
      <c r="M9" s="27"/>
    </row>
    <row r="10" spans="1:13" ht="17.25" customHeight="1">
      <c r="A10" s="34" t="s">
        <v>29</v>
      </c>
      <c r="B10" s="35">
        <v>99654</v>
      </c>
      <c r="C10" s="36"/>
      <c r="D10" s="37" t="str">
        <f t="shared" si="0"/>
        <v/>
      </c>
      <c r="E10" s="38"/>
    </row>
    <row r="11" spans="1:13" ht="17.25" customHeight="1">
      <c r="A11" s="34" t="s">
        <v>30</v>
      </c>
      <c r="B11" s="35">
        <v>99098</v>
      </c>
      <c r="C11" s="36"/>
      <c r="D11" s="37" t="str">
        <f t="shared" si="0"/>
        <v/>
      </c>
      <c r="E11" s="38"/>
    </row>
    <row r="12" spans="1:13" ht="17.25" customHeight="1">
      <c r="A12" s="34" t="s">
        <v>31</v>
      </c>
      <c r="B12" s="35">
        <v>111333</v>
      </c>
      <c r="C12" s="36"/>
      <c r="D12" s="37" t="str">
        <f t="shared" si="0"/>
        <v/>
      </c>
      <c r="E12" s="38"/>
    </row>
    <row r="13" spans="1:13" ht="17.25" customHeight="1">
      <c r="A13" s="34" t="s">
        <v>32</v>
      </c>
      <c r="B13" s="35">
        <v>22345</v>
      </c>
      <c r="C13" s="36"/>
      <c r="D13" s="37" t="str">
        <f t="shared" si="0"/>
        <v/>
      </c>
      <c r="E13" s="38"/>
    </row>
    <row r="14" spans="1:13" ht="17.25" customHeight="1">
      <c r="A14" s="34" t="s">
        <v>33</v>
      </c>
      <c r="B14" s="35">
        <v>33625</v>
      </c>
      <c r="C14" s="36"/>
      <c r="D14" s="37" t="str">
        <f t="shared" si="0"/>
        <v/>
      </c>
      <c r="E14" s="38"/>
    </row>
    <row r="15" spans="1:13" ht="17.25" customHeight="1">
      <c r="A15" s="34" t="s">
        <v>34</v>
      </c>
      <c r="B15" s="35">
        <v>10987</v>
      </c>
      <c r="C15" s="36"/>
      <c r="D15" s="37" t="str">
        <f t="shared" si="0"/>
        <v/>
      </c>
      <c r="E15" s="38"/>
    </row>
    <row r="16" spans="1:13" ht="17.25" customHeight="1">
      <c r="A16" s="34" t="s">
        <v>35</v>
      </c>
      <c r="B16" s="35">
        <v>167543</v>
      </c>
      <c r="C16" s="36"/>
      <c r="D16" s="37" t="str">
        <f t="shared" si="0"/>
        <v/>
      </c>
      <c r="E16" s="38"/>
    </row>
    <row r="17" spans="1:5" ht="17.25" customHeight="1">
      <c r="A17" s="34" t="s">
        <v>36</v>
      </c>
      <c r="B17" s="35">
        <v>46765</v>
      </c>
      <c r="C17" s="36"/>
      <c r="D17" s="37" t="str">
        <f t="shared" si="0"/>
        <v/>
      </c>
      <c r="E17" s="38"/>
    </row>
    <row r="18" spans="1:5" ht="17.25" customHeight="1">
      <c r="A18" s="34" t="s">
        <v>37</v>
      </c>
      <c r="B18" s="35">
        <v>254565</v>
      </c>
      <c r="C18" s="36"/>
      <c r="D18" s="37" t="str">
        <f t="shared" si="0"/>
        <v/>
      </c>
      <c r="E18" s="38"/>
    </row>
    <row r="19" spans="1:5" ht="17.25" customHeight="1">
      <c r="A19" s="34" t="s">
        <v>38</v>
      </c>
      <c r="B19" s="35">
        <v>189876</v>
      </c>
      <c r="C19" s="36"/>
      <c r="D19" s="37" t="str">
        <f t="shared" si="0"/>
        <v/>
      </c>
      <c r="E19" s="38"/>
    </row>
    <row r="20" spans="1:5" ht="17.25" customHeight="1">
      <c r="A20" s="34" t="s">
        <v>39</v>
      </c>
      <c r="B20" s="35">
        <v>156765</v>
      </c>
      <c r="C20" s="36"/>
      <c r="D20" s="37" t="str">
        <f t="shared" si="0"/>
        <v/>
      </c>
      <c r="E20" s="38"/>
    </row>
    <row r="21" spans="1:5" ht="17.25" customHeight="1">
      <c r="A21" s="34" t="s">
        <v>40</v>
      </c>
      <c r="B21" s="35">
        <v>265433</v>
      </c>
      <c r="C21" s="36"/>
      <c r="D21" s="37" t="str">
        <f t="shared" si="0"/>
        <v/>
      </c>
      <c r="E21" s="38"/>
    </row>
    <row r="22" spans="1:5" ht="17.25" customHeight="1">
      <c r="A22" s="34" t="s">
        <v>41</v>
      </c>
      <c r="B22" s="35">
        <v>343211</v>
      </c>
      <c r="C22" s="36"/>
      <c r="D22" s="37" t="str">
        <f t="shared" si="0"/>
        <v/>
      </c>
      <c r="E22" s="38"/>
    </row>
    <row r="23" spans="1:5" ht="17.25" customHeight="1">
      <c r="A23" s="34" t="s">
        <v>42</v>
      </c>
      <c r="B23" s="35">
        <v>119850</v>
      </c>
      <c r="C23" s="36"/>
      <c r="D23" s="37" t="str">
        <f t="shared" si="0"/>
        <v/>
      </c>
      <c r="E23" s="38"/>
    </row>
    <row r="24" spans="1:5" ht="17.25" customHeight="1">
      <c r="A24" s="34" t="s">
        <v>43</v>
      </c>
      <c r="B24" s="35">
        <v>89450</v>
      </c>
      <c r="C24" s="36"/>
      <c r="D24" s="37" t="str">
        <f t="shared" si="0"/>
        <v/>
      </c>
      <c r="E24" s="38"/>
    </row>
    <row r="25" spans="1:5" ht="17.25" customHeight="1">
      <c r="A25" s="34" t="s">
        <v>44</v>
      </c>
      <c r="B25" s="35">
        <v>113676</v>
      </c>
      <c r="C25" s="36"/>
      <c r="D25" s="37" t="str">
        <f t="shared" si="0"/>
        <v/>
      </c>
      <c r="E25" s="38"/>
    </row>
    <row r="26" spans="1:5" ht="17.25" customHeight="1">
      <c r="A26" s="34" t="s">
        <v>45</v>
      </c>
      <c r="B26" s="35">
        <v>23456</v>
      </c>
      <c r="C26" s="36"/>
      <c r="D26" s="37" t="str">
        <f t="shared" si="0"/>
        <v/>
      </c>
      <c r="E26" s="38"/>
    </row>
    <row r="27" spans="1:5" ht="17.25" customHeight="1">
      <c r="A27" s="34" t="s">
        <v>46</v>
      </c>
      <c r="B27" s="35">
        <v>93500</v>
      </c>
      <c r="C27" s="36"/>
      <c r="D27" s="37" t="str">
        <f t="shared" si="0"/>
        <v/>
      </c>
      <c r="E27" s="38"/>
    </row>
    <row r="28" spans="1:5" ht="17.25" customHeight="1">
      <c r="A28" s="34" t="s">
        <v>47</v>
      </c>
      <c r="B28" s="35">
        <v>98622</v>
      </c>
      <c r="C28" s="36"/>
      <c r="D28" s="37" t="str">
        <f t="shared" si="0"/>
        <v/>
      </c>
      <c r="E28" s="38"/>
    </row>
    <row r="29" spans="1:5" ht="17.25" customHeight="1">
      <c r="A29" s="34" t="s">
        <v>48</v>
      </c>
      <c r="B29" s="35">
        <v>21569</v>
      </c>
      <c r="C29" s="36"/>
      <c r="D29" s="37" t="str">
        <f t="shared" si="0"/>
        <v/>
      </c>
      <c r="E29" s="38"/>
    </row>
  </sheetData>
  <sheetProtection formatCells="0" formatColumns="0" formatRows="0" sort="0"/>
  <pageMargins left="0.7" right="0.7" top="0.75" bottom="0.75" header="0.3" footer="0.3"/>
  <pageSetup paperSize="9" orientation="portrait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0D2B-6229-4E36-A724-5D738709E79D}">
  <sheetPr>
    <tabColor theme="6" tint="-0.249977111117893"/>
  </sheetPr>
  <dimension ref="A1:B7"/>
  <sheetViews>
    <sheetView zoomScale="120" zoomScaleNormal="120" workbookViewId="0">
      <selection activeCell="C7" sqref="C7"/>
    </sheetView>
  </sheetViews>
  <sheetFormatPr defaultColWidth="9.1796875" defaultRowHeight="15" customHeight="1"/>
  <cols>
    <col min="1" max="1" width="12.81640625" style="27" bestFit="1" customWidth="1"/>
    <col min="2" max="2" width="11.26953125" style="30" bestFit="1" customWidth="1"/>
    <col min="3" max="16384" width="9.1796875" style="27"/>
  </cols>
  <sheetData>
    <row r="1" spans="1:2" ht="15" customHeight="1">
      <c r="A1" s="25" t="s">
        <v>17</v>
      </c>
      <c r="B1" s="26" t="s">
        <v>18</v>
      </c>
    </row>
    <row r="2" spans="1:2" ht="15" customHeight="1">
      <c r="A2" s="28">
        <v>50000</v>
      </c>
      <c r="B2" s="29">
        <v>0.03</v>
      </c>
    </row>
    <row r="3" spans="1:2" ht="15" customHeight="1">
      <c r="A3" s="28">
        <v>75000</v>
      </c>
      <c r="B3" s="29">
        <v>0.04</v>
      </c>
    </row>
    <row r="4" spans="1:2" ht="15" customHeight="1">
      <c r="A4" s="28">
        <v>100000</v>
      </c>
      <c r="B4" s="29">
        <v>0.05</v>
      </c>
    </row>
    <row r="5" spans="1:2" ht="15" customHeight="1">
      <c r="A5" s="28">
        <v>125000</v>
      </c>
      <c r="B5" s="29">
        <v>0.06</v>
      </c>
    </row>
    <row r="6" spans="1:2" ht="15" customHeight="1">
      <c r="A6" s="28">
        <v>175000</v>
      </c>
      <c r="B6" s="29">
        <v>0.08</v>
      </c>
    </row>
    <row r="7" spans="1:2" ht="15" customHeight="1">
      <c r="A7" s="28">
        <v>200000</v>
      </c>
      <c r="B7" s="29">
        <v>0.09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3BF5-2D25-4DEF-B53F-C55EA1DA8C8C}">
  <sheetPr>
    <tabColor rgb="FF7030A0"/>
  </sheetPr>
  <dimension ref="A1:J5"/>
  <sheetViews>
    <sheetView workbookViewId="0">
      <selection activeCell="J9" sqref="J9"/>
    </sheetView>
  </sheetViews>
  <sheetFormatPr defaultColWidth="9.26953125" defaultRowHeight="14.5"/>
  <cols>
    <col min="1" max="1" width="10.7265625" style="1" customWidth="1"/>
    <col min="2" max="3" width="10.54296875" style="1" bestFit="1" customWidth="1"/>
    <col min="4" max="4" width="12.26953125" style="1" bestFit="1" customWidth="1"/>
    <col min="5" max="5" width="12" style="1" bestFit="1" customWidth="1"/>
    <col min="6" max="6" width="13.26953125" style="1" bestFit="1" customWidth="1"/>
    <col min="7" max="7" width="10.54296875" style="1" bestFit="1" customWidth="1"/>
    <col min="8" max="8" width="10.54296875" style="1" customWidth="1"/>
    <col min="9" max="10" width="10.54296875" style="1" bestFit="1" customWidth="1"/>
    <col min="11" max="16384" width="9.26953125" style="1"/>
  </cols>
  <sheetData>
    <row r="1" spans="1:10" ht="15" thickBot="1">
      <c r="A1" s="14"/>
      <c r="B1" s="15" t="s">
        <v>8</v>
      </c>
      <c r="C1" s="15" t="s">
        <v>7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1</v>
      </c>
      <c r="J1" s="16" t="s">
        <v>0</v>
      </c>
    </row>
    <row r="2" spans="1:10">
      <c r="A2" s="17" t="s">
        <v>13</v>
      </c>
      <c r="B2" s="18">
        <v>12345</v>
      </c>
      <c r="C2" s="19">
        <v>23511</v>
      </c>
      <c r="D2" s="19">
        <v>12341</v>
      </c>
      <c r="E2" s="19">
        <v>12342</v>
      </c>
      <c r="F2" s="19">
        <v>22211</v>
      </c>
      <c r="G2" s="19">
        <v>13222</v>
      </c>
      <c r="H2" s="19">
        <v>12343</v>
      </c>
      <c r="I2" s="19">
        <v>12343</v>
      </c>
      <c r="J2" s="20">
        <v>9007</v>
      </c>
    </row>
    <row r="3" spans="1:10">
      <c r="A3" s="17" t="s">
        <v>14</v>
      </c>
      <c r="B3" s="6">
        <v>12544</v>
      </c>
      <c r="C3" s="7">
        <v>14352</v>
      </c>
      <c r="D3" s="7">
        <v>15354</v>
      </c>
      <c r="E3" s="7">
        <v>16563</v>
      </c>
      <c r="F3" s="7">
        <v>11223</v>
      </c>
      <c r="G3" s="7">
        <v>15263</v>
      </c>
      <c r="H3" s="7">
        <v>21112</v>
      </c>
      <c r="I3" s="7">
        <v>12231</v>
      </c>
      <c r="J3" s="8">
        <v>12273</v>
      </c>
    </row>
    <row r="4" spans="1:10">
      <c r="A4" s="17" t="s">
        <v>15</v>
      </c>
      <c r="B4" s="6">
        <v>18978</v>
      </c>
      <c r="C4" s="7">
        <v>17789</v>
      </c>
      <c r="D4" s="7">
        <v>17892</v>
      </c>
      <c r="E4" s="7">
        <v>18727</v>
      </c>
      <c r="F4" s="7">
        <v>20029</v>
      </c>
      <c r="G4" s="7">
        <v>1092</v>
      </c>
      <c r="H4" s="7">
        <v>9992</v>
      </c>
      <c r="I4" s="7">
        <v>14563</v>
      </c>
      <c r="J4" s="8">
        <v>9902</v>
      </c>
    </row>
    <row r="5" spans="1:10" ht="15" thickBot="1">
      <c r="A5" s="21" t="s">
        <v>16</v>
      </c>
      <c r="B5" s="22"/>
      <c r="C5" s="23"/>
      <c r="D5" s="23"/>
      <c r="E5" s="23"/>
      <c r="F5" s="23"/>
      <c r="G5" s="23"/>
      <c r="H5" s="23"/>
      <c r="I5" s="23"/>
      <c r="J5" s="24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427F-0A90-4CC7-B4B0-F941EF171BE9}">
  <sheetPr>
    <tabColor rgb="FF7030A0"/>
  </sheetPr>
  <dimension ref="A1:J5"/>
  <sheetViews>
    <sheetView workbookViewId="0"/>
  </sheetViews>
  <sheetFormatPr defaultColWidth="9.26953125" defaultRowHeight="14.5"/>
  <cols>
    <col min="1" max="1" width="13.26953125" style="1" bestFit="1" customWidth="1"/>
    <col min="2" max="2" width="9.54296875" style="1" bestFit="1" customWidth="1"/>
    <col min="3" max="3" width="10.54296875" style="1" bestFit="1" customWidth="1"/>
    <col min="4" max="5" width="12.26953125" style="1" bestFit="1" customWidth="1"/>
    <col min="6" max="6" width="13.26953125" style="1" bestFit="1" customWidth="1"/>
    <col min="7" max="8" width="10.54296875" style="1" bestFit="1" customWidth="1"/>
    <col min="9" max="10" width="9.54296875" style="1" bestFit="1" customWidth="1"/>
    <col min="11" max="16384" width="9.26953125" style="1"/>
  </cols>
  <sheetData>
    <row r="1" spans="1:10" ht="15" thickBot="1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</row>
    <row r="2" spans="1:10">
      <c r="A2" s="5" t="s">
        <v>9</v>
      </c>
      <c r="B2" s="6">
        <v>2673</v>
      </c>
      <c r="C2" s="7">
        <v>7683</v>
      </c>
      <c r="D2" s="7">
        <v>6786</v>
      </c>
      <c r="E2" s="7">
        <v>5654</v>
      </c>
      <c r="F2" s="7">
        <v>3456</v>
      </c>
      <c r="G2" s="7">
        <v>4455</v>
      </c>
      <c r="H2" s="7">
        <v>5665</v>
      </c>
      <c r="I2" s="7">
        <v>3434</v>
      </c>
      <c r="J2" s="8">
        <v>2324</v>
      </c>
    </row>
    <row r="3" spans="1:10">
      <c r="A3" s="9" t="s">
        <v>10</v>
      </c>
      <c r="B3" s="6">
        <v>2323</v>
      </c>
      <c r="C3" s="7">
        <v>2324</v>
      </c>
      <c r="D3" s="7">
        <v>5453</v>
      </c>
      <c r="E3" s="7">
        <v>2354</v>
      </c>
      <c r="F3" s="7">
        <v>1232</v>
      </c>
      <c r="G3" s="7">
        <v>1334</v>
      </c>
      <c r="H3" s="7">
        <v>1233</v>
      </c>
      <c r="I3" s="7">
        <v>1323</v>
      </c>
      <c r="J3" s="8">
        <v>1234</v>
      </c>
    </row>
    <row r="4" spans="1:10" ht="15" thickBot="1">
      <c r="A4" s="9" t="s">
        <v>11</v>
      </c>
      <c r="B4" s="6">
        <v>1213</v>
      </c>
      <c r="C4" s="7">
        <v>1224</v>
      </c>
      <c r="D4" s="7">
        <v>3434</v>
      </c>
      <c r="E4" s="7">
        <v>1232</v>
      </c>
      <c r="F4" s="7">
        <v>3434</v>
      </c>
      <c r="G4" s="7">
        <v>4542</v>
      </c>
      <c r="H4" s="7">
        <v>3452</v>
      </c>
      <c r="I4" s="7">
        <v>1234</v>
      </c>
      <c r="J4" s="8">
        <v>2343</v>
      </c>
    </row>
    <row r="5" spans="1:10" ht="15" thickBot="1">
      <c r="A5" s="10" t="s">
        <v>12</v>
      </c>
      <c r="B5" s="11">
        <f>SUM(B2:B4)</f>
        <v>6209</v>
      </c>
      <c r="C5" s="12">
        <f t="shared" ref="C5:J5" si="0">SUM(C2:C4)</f>
        <v>11231</v>
      </c>
      <c r="D5" s="12">
        <f t="shared" si="0"/>
        <v>15673</v>
      </c>
      <c r="E5" s="12">
        <f t="shared" si="0"/>
        <v>9240</v>
      </c>
      <c r="F5" s="12">
        <f t="shared" si="0"/>
        <v>8122</v>
      </c>
      <c r="G5" s="12">
        <f t="shared" si="0"/>
        <v>10331</v>
      </c>
      <c r="H5" s="12">
        <f t="shared" si="0"/>
        <v>10350</v>
      </c>
      <c r="I5" s="12">
        <f t="shared" si="0"/>
        <v>5991</v>
      </c>
      <c r="J5" s="13">
        <f t="shared" si="0"/>
        <v>5901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B4EA066C29E94CB40A809408264F39" ma:contentTypeVersion="26" ma:contentTypeDescription="Create a new document." ma:contentTypeScope="" ma:versionID="abe5ba9a1e373e724b841c32dd5f69a7">
  <xsd:schema xmlns:xsd="http://www.w3.org/2001/XMLSchema" xmlns:xs="http://www.w3.org/2001/XMLSchema" xmlns:p="http://schemas.microsoft.com/office/2006/metadata/properties" xmlns:ns2="5be466aa-9221-4526-8a51-40bb3c3e9733" xmlns:ns3="79b53a2e-f2ad-401e-ad3b-f695ae178b13" targetNamespace="http://schemas.microsoft.com/office/2006/metadata/properties" ma:root="true" ma:fieldsID="54005053c8fdc22b232bcec070286fb3" ns2:_="" ns3:_="">
    <xsd:import namespace="5be466aa-9221-4526-8a51-40bb3c3e9733"/>
    <xsd:import namespace="79b53a2e-f2ad-401e-ad3b-f695ae178b13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Teaching_x0020_Aid" minOccurs="0"/>
                <xsd:element ref="ns2:lcf76f155ced4ddcb4097134ff3c332f0" minOccurs="0"/>
                <xsd:element ref="ns2:Progress" minOccurs="0"/>
                <xsd:element ref="ns2:lcf76f155ced4ddcb4097134ff3c332f1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e466aa-9221-4526-8a51-40bb3c3e9733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igrationWizIdPermissionLevels" ma:index="11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2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3" nillable="true" ma:displayName="MigrationWizIdSecurityGroups" ma:internalName="MigrationWizIdSecurityGroups">
      <xsd:simpleType>
        <xsd:restriction base="dms:Text"/>
      </xsd:simpleType>
    </xsd:element>
    <xsd:element name="Teaching_x0020_Aid" ma:index="14" nillable="true" ma:displayName="Teaching Aid" ma:description="Handout, Presentation, Course Outline or Training Doc" ma:format="Dropdown" ma:internalName="Teaching_x0020_Aid" ma:readOnly="false">
      <xsd:simpleType>
        <xsd:restriction base="dms:Choice">
          <xsd:enumeration value="Delegate Handout"/>
          <xsd:enumeration value="Presentation"/>
          <xsd:enumeration value="Training Support Doc"/>
          <xsd:enumeration value="Course Outline"/>
          <xsd:enumeration value="Lesson Plan"/>
          <xsd:enumeration value="Instructions / Procedure Table"/>
          <xsd:enumeration value="Transcript File"/>
          <xsd:enumeration value="Subtitles File"/>
          <xsd:enumeration value="Video File"/>
          <xsd:enumeration value="Audio File"/>
          <xsd:enumeration value="Speech"/>
        </xsd:restriction>
      </xsd:simpleType>
    </xsd:element>
    <xsd:element name="lcf76f155ced4ddcb4097134ff3c332f0" ma:index="15" nillable="true" ma:displayName="Image Tags_0" ma:hidden="true" ma:internalName="lcf76f155ced4ddcb4097134ff3c332f0" ma:readOnly="false">
      <xsd:simpleType>
        <xsd:restriction base="dms:Note"/>
      </xsd:simpleType>
    </xsd:element>
    <xsd:element name="Progress" ma:index="16" nillable="true" ma:displayName="Progress" ma:format="Dropdown" ma:internalName="Progress" ma:readOnly="false">
      <xsd:simpleType>
        <xsd:restriction base="dms:Choice">
          <xsd:enumeration value="In progress"/>
          <xsd:enumeration value="Completed"/>
          <xsd:enumeration value="Not started"/>
        </xsd:restriction>
      </xsd:simpleType>
    </xsd:element>
    <xsd:element name="lcf76f155ced4ddcb4097134ff3c332f1" ma:index="17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4c5b3c6d-d9d8-41a8-b6c6-8930cfab3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2" nillable="true" ma:displayName="Location" ma:indexed="true" ma:internalName="MediaServiceLocation" ma:readOnly="true">
      <xsd:simpleType>
        <xsd:restriction base="dms:Text"/>
      </xsd:simpleType>
    </xsd:element>
    <xsd:element name="TranslatedLang" ma:index="33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53a2e-f2ad-401e-ad3b-f695ae178b13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3b49676e-9fa7-4f23-b24b-9e1c68e57baf}" ma:internalName="TaxCatchAll" ma:showField="CatchAllData" ma:web="79b53a2e-f2ad-401e-ad3b-f695ae178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Levels xmlns="5be466aa-9221-4526-8a51-40bb3c3e9733" xsi:nil="true"/>
    <lcf76f155ced4ddcb4097134ff3c332f xmlns="5be466aa-9221-4526-8a51-40bb3c3e9733">
      <Terms xmlns="http://schemas.microsoft.com/office/infopath/2007/PartnerControls"/>
    </lcf76f155ced4ddcb4097134ff3c332f>
    <MigrationWizIdPermissions xmlns="5be466aa-9221-4526-8a51-40bb3c3e9733" xsi:nil="true"/>
    <Teaching_x0020_Aid xmlns="5be466aa-9221-4526-8a51-40bb3c3e9733">Training Support Doc</Teaching_x0020_Aid>
    <TranslatedLang xmlns="5be466aa-9221-4526-8a51-40bb3c3e9733" xsi:nil="true"/>
    <Progress xmlns="5be466aa-9221-4526-8a51-40bb3c3e9733" xsi:nil="true"/>
    <TaxCatchAll xmlns="79b53a2e-f2ad-401e-ad3b-f695ae178b13" xsi:nil="true"/>
    <MigrationWizIdDocumentLibraryPermissions xmlns="5be466aa-9221-4526-8a51-40bb3c3e9733" xsi:nil="true"/>
    <MigrationWizIdSecurityGroups xmlns="5be466aa-9221-4526-8a51-40bb3c3e9733" xsi:nil="true"/>
    <MigrationWizIdVersion xmlns="5be466aa-9221-4526-8a51-40bb3c3e9733" xsi:nil="true"/>
    <MigrationWizId xmlns="5be466aa-9221-4526-8a51-40bb3c3e9733" xsi:nil="true"/>
    <lcf76f155ced4ddcb4097134ff3c332f1 xmlns="5be466aa-9221-4526-8a51-40bb3c3e9733" xsi:nil="true"/>
    <lcf76f155ced4ddcb4097134ff3c332f0 xmlns="5be466aa-9221-4526-8a51-40bb3c3e9733" xsi:nil="true"/>
  </documentManagement>
</p:properties>
</file>

<file path=customXml/itemProps1.xml><?xml version="1.0" encoding="utf-8"?>
<ds:datastoreItem xmlns:ds="http://schemas.openxmlformats.org/officeDocument/2006/customXml" ds:itemID="{685A0FA4-6835-466B-B7A0-6D3DB29A1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e466aa-9221-4526-8a51-40bb3c3e9733"/>
    <ds:schemaRef ds:uri="79b53a2e-f2ad-401e-ad3b-f695ae178b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4B7ECA-92BB-4EEC-BE3F-6258B69866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EE5420-3840-4706-8971-DDB7FF70201C}">
  <ds:schemaRefs>
    <ds:schemaRef ds:uri="http://schemas.microsoft.com/office/2006/documentManagement/types"/>
    <ds:schemaRef ds:uri="http://purl.org/dc/dcmitype/"/>
    <ds:schemaRef ds:uri="http://purl.org/dc/terms/"/>
    <ds:schemaRef ds:uri="5be466aa-9221-4526-8a51-40bb3c3e9733"/>
    <ds:schemaRef ds:uri="http://purl.org/dc/elements/1.1/"/>
    <ds:schemaRef ds:uri="79b53a2e-f2ad-401e-ad3b-f695ae178b13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4</vt:i4>
      </vt:variant>
    </vt:vector>
  </HeadingPairs>
  <TitlesOfParts>
    <vt:vector size="33" baseType="lpstr">
      <vt:lpstr>Name Range</vt:lpstr>
      <vt:lpstr>Asset Record</vt:lpstr>
      <vt:lpstr>Employee Record</vt:lpstr>
      <vt:lpstr>Invoice</vt:lpstr>
      <vt:lpstr>Address</vt:lpstr>
      <vt:lpstr>January</vt:lpstr>
      <vt:lpstr>February</vt:lpstr>
      <vt:lpstr>Error Messages</vt:lpstr>
      <vt:lpstr>Last Year</vt:lpstr>
      <vt:lpstr>Protect Formulas</vt:lpstr>
      <vt:lpstr>Protect Practice</vt:lpstr>
      <vt:lpstr>XL SALARY MASTER</vt:lpstr>
      <vt:lpstr>XL BONUS MASTER</vt:lpstr>
      <vt:lpstr>XL Match &amp; If not found</vt:lpstr>
      <vt:lpstr>XL Approx match</vt:lpstr>
      <vt:lpstr>XL Page Views</vt:lpstr>
      <vt:lpstr>XL Pages</vt:lpstr>
      <vt:lpstr>Validation Inputting</vt:lpstr>
      <vt:lpstr>Validation Lists</vt:lpstr>
      <vt:lpstr>Unique Values 1</vt:lpstr>
      <vt:lpstr>Unique Values 2</vt:lpstr>
      <vt:lpstr>FX</vt:lpstr>
      <vt:lpstr>GBP-USD</vt:lpstr>
      <vt:lpstr>Bank balance</vt:lpstr>
      <vt:lpstr>Interest_rates</vt:lpstr>
      <vt:lpstr>XL or VL Practice 1</vt:lpstr>
      <vt:lpstr>XL or VL Practice 2</vt:lpstr>
      <vt:lpstr>H-LOOKUP</vt:lpstr>
      <vt:lpstr>Qtr_4</vt:lpstr>
      <vt:lpstr>Employee_Bonus</vt:lpstr>
      <vt:lpstr>Employee_ID</vt:lpstr>
      <vt:lpstr>Total_Expense</vt:lpstr>
      <vt:lpstr>TotalIncome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Keyra Melendez</cp:lastModifiedBy>
  <cp:revision/>
  <dcterms:created xsi:type="dcterms:W3CDTF">2025-04-11T15:56:24Z</dcterms:created>
  <dcterms:modified xsi:type="dcterms:W3CDTF">2025-08-08T11:36:52Z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0x010100B7B4EA066C29E94CB40A809408264F39</vt:lpwstr>
  </property>
  <property fmtid="{D5CDD505-2E9C-101B-9397-08002B2CF9AE}" pid="3" name="MediaServiceImageTags">
    <vt:lpwstr/>
  </property>
</Properties>
</file>